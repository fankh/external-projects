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견적서(인력)" sheetId="1" state="visible" r:id="rId1"/>
    <sheet xmlns:r="http://schemas.openxmlformats.org/officeDocument/2006/relationships" name="견적서(업무)" sheetId="2" state="visible" r:id="rId2"/>
  </sheets>
  <definedNames>
    <definedName name="_xlnm.Print_Area" localSheetId="0">'견적서(인력)'!$A$1:$L$34</definedName>
    <definedName name="_xlnm.Print_Area" localSheetId="1">'견적서(업무)'!$A$1:$K$30</definedName>
  </definedNames>
  <calcPr calcId="124519" calcMode="auto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_-* #,##0_-;\-* #,##0_-;_-* \-_-;_-@_-"/>
  </numFmts>
  <fonts count="23">
    <font>
      <name val="돋움"/>
      <charset val="129"/>
      <family val="3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체"/>
      <charset val="129"/>
      <family val="3"/>
      <sz val="10"/>
    </font>
    <font>
      <name val="굴림체"/>
      <charset val="129"/>
      <family val="3"/>
      <sz val="11"/>
    </font>
    <font>
      <name val="굴림체"/>
      <charset val="129"/>
      <family val="3"/>
      <sz val="34"/>
      <u val="single"/>
    </font>
    <font>
      <name val="굴림체"/>
      <charset val="129"/>
      <family val="3"/>
      <b val="1"/>
      <sz val="24"/>
      <u val="single"/>
    </font>
    <font>
      <name val="굴림체"/>
      <charset val="129"/>
      <family val="3"/>
      <b val="1"/>
      <sz val="24"/>
    </font>
    <font>
      <name val="굴림체"/>
      <charset val="129"/>
      <family val="3"/>
      <b val="1"/>
      <color rgb="FF000000"/>
      <sz val="18"/>
      <u val="single"/>
    </font>
    <font>
      <name val="굴림체"/>
      <charset val="129"/>
      <family val="3"/>
      <sz val="12"/>
    </font>
    <font>
      <name val="굴림체"/>
      <charset val="129"/>
      <family val="3"/>
      <color rgb="FF000000"/>
      <sz val="12"/>
    </font>
    <font>
      <name val="굴림체"/>
      <charset val="129"/>
      <family val="3"/>
      <b val="1"/>
      <sz val="12"/>
    </font>
    <font>
      <name val="굴림체"/>
      <charset val="129"/>
      <family val="3"/>
      <sz val="8"/>
    </font>
    <font>
      <name val="굴림체"/>
      <charset val="129"/>
      <family val="3"/>
      <b val="1"/>
      <sz val="14"/>
      <u val="single"/>
    </font>
    <font>
      <name val="굴림체"/>
      <charset val="129"/>
      <family val="3"/>
      <sz val="10"/>
      <u val="single"/>
    </font>
    <font>
      <name val="굴림체"/>
      <charset val="129"/>
      <family val="3"/>
      <color rgb="FFFFFFFF"/>
      <sz val="10"/>
    </font>
    <font>
      <name val="굴림체"/>
      <charset val="129"/>
      <family val="3"/>
      <b val="1"/>
      <color rgb="FFFFFFFF"/>
      <sz val="11"/>
    </font>
    <font>
      <name val="굴림체"/>
      <charset val="129"/>
      <family val="3"/>
      <b val="1"/>
      <color rgb="FF808080"/>
      <sz val="12"/>
    </font>
    <font>
      <name val="굴림체"/>
      <charset val="129"/>
      <family val="3"/>
      <color rgb="FF000000"/>
      <sz val="10"/>
    </font>
    <font>
      <name val="굴림체"/>
      <charset val="129"/>
      <family val="3"/>
      <color rgb="FF000000"/>
      <sz val="11"/>
    </font>
    <font>
      <name val="굴림체"/>
      <charset val="129"/>
      <family val="3"/>
      <color rgb="FFFFFFFF"/>
      <sz val="11"/>
    </font>
    <font>
      <name val="굴림체"/>
      <charset val="129"/>
      <family val="3"/>
      <strike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99CC00"/>
        <bgColor rgb="FFFFCC00"/>
      </patternFill>
    </fill>
    <fill>
      <patternFill patternType="solid">
        <fgColor rgb="FFFFFFFF"/>
        <bgColor rgb="FFFFFFCC"/>
      </patternFill>
    </fill>
    <fill>
      <patternFill patternType="solid">
        <fgColor rgb="FF969696"/>
        <bgColor rgb="FF808080"/>
      </patternFill>
    </fill>
  </fills>
  <borders count="43">
    <border>
      <left/>
      <right/>
      <top/>
      <bottom/>
      <diagonal/>
    </border>
    <border>
      <left/>
      <right/>
      <top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 style="medium"/>
      <diagonal/>
    </border>
    <border>
      <left style="thin"/>
      <right/>
      <top style="medium"/>
      <bottom style="medium"/>
      <diagonal/>
    </border>
    <border>
      <left style="thin"/>
      <right style="thin"/>
      <top style="medium"/>
      <bottom/>
      <diagonal/>
    </border>
    <border>
      <left style="thin"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 style="medium"/>
      <top style="medium"/>
      <bottom style="medium"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/>
      <top style="thin"/>
      <bottom style="medium"/>
      <diagonal/>
    </border>
    <border>
      <left style="medium"/>
      <right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medium"/>
      <bottom/>
      <diagonal/>
    </border>
    <border>
      <left style="thin"/>
      <right style="medium"/>
      <top/>
      <bottom style="medium"/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medium"/>
      <diagonal/>
    </border>
    <border>
      <left style="medium"/>
      <right/>
      <top/>
      <bottom style="medium"/>
      <diagonal/>
    </border>
    <border>
      <left style="thin"/>
      <right style="thin"/>
      <top/>
      <bottom style="medium"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164" fontId="0" fillId="0" borderId="0"/>
    <xf numFmtId="44" fontId="3" fillId="0" borderId="0"/>
    <xf numFmtId="42" fontId="3" fillId="0" borderId="0"/>
    <xf numFmtId="9" fontId="3" fillId="0" borderId="0"/>
  </cellStyleXfs>
  <cellXfs count="15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center"/>
    </xf>
    <xf numFmtId="0" fontId="11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general" vertical="bottom"/>
    </xf>
    <xf numFmtId="9" fontId="16" fillId="0" borderId="1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7" fillId="2" borderId="4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 vertical="center" wrapText="1"/>
    </xf>
    <xf numFmtId="0" fontId="17" fillId="2" borderId="6" applyAlignment="1" pivotButton="0" quotePrefix="0" xfId="0">
      <alignment horizontal="center" vertical="center" wrapText="1"/>
    </xf>
    <xf numFmtId="0" fontId="17" fillId="2" borderId="7" applyAlignment="1" pivotButton="0" quotePrefix="0" xfId="0">
      <alignment horizontal="center" vertical="center" wrapText="1"/>
    </xf>
    <xf numFmtId="0" fontId="18" fillId="3" borderId="8" applyAlignment="1" pivotButton="0" quotePrefix="0" xfId="0">
      <alignment horizontal="center" vertical="center" wrapText="1"/>
    </xf>
    <xf numFmtId="0" fontId="19" fillId="0" borderId="9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general" vertical="center" wrapText="1"/>
    </xf>
    <xf numFmtId="164" fontId="4" fillId="4" borderId="10" applyAlignment="1" pivotButton="0" quotePrefix="0" xfId="16">
      <alignment horizontal="right" vertical="center" wrapText="1"/>
    </xf>
    <xf numFmtId="3" fontId="4" fillId="4" borderId="10" applyAlignment="1" pivotButton="0" quotePrefix="0" xfId="16">
      <alignment horizontal="general" vertical="center" wrapText="1"/>
    </xf>
    <xf numFmtId="3" fontId="4" fillId="0" borderId="10" applyAlignment="1" pivotButton="0" quotePrefix="0" xfId="16">
      <alignment horizontal="general" vertical="center"/>
    </xf>
    <xf numFmtId="0" fontId="4" fillId="0" borderId="11" applyAlignment="1" pivotButton="0" quotePrefix="0" xfId="0">
      <alignment horizontal="center" vertical="center" wrapText="1"/>
    </xf>
    <xf numFmtId="0" fontId="19" fillId="0" borderId="12" applyAlignment="1" pivotButton="0" quotePrefix="0" xfId="0">
      <alignment horizontal="center" vertical="center" wrapText="1"/>
    </xf>
    <xf numFmtId="0" fontId="4" fillId="4" borderId="12" applyAlignment="1" pivotButton="0" quotePrefix="0" xfId="0">
      <alignment horizontal="general" vertical="center" wrapText="1"/>
    </xf>
    <xf numFmtId="164" fontId="4" fillId="4" borderId="12" applyAlignment="1" pivotButton="0" quotePrefix="0" xfId="16">
      <alignment horizontal="right" vertical="center" wrapText="1"/>
    </xf>
    <xf numFmtId="0" fontId="20" fillId="4" borderId="13" applyAlignment="1" pivotButton="0" quotePrefix="0" xfId="0">
      <alignment horizontal="center" vertical="center" wrapText="1"/>
    </xf>
    <xf numFmtId="0" fontId="5" fillId="4" borderId="12" applyAlignment="1" pivotButton="0" quotePrefix="0" xfId="0">
      <alignment horizontal="center" vertical="center" wrapText="1"/>
    </xf>
    <xf numFmtId="3" fontId="5" fillId="4" borderId="12" applyAlignment="1" pivotButton="0" quotePrefix="0" xfId="16">
      <alignment horizontal="general" vertical="center" wrapText="1"/>
    </xf>
    <xf numFmtId="3" fontId="5" fillId="4" borderId="12" applyAlignment="1" pivotButton="0" quotePrefix="0" xfId="16">
      <alignment horizontal="general" vertical="center"/>
    </xf>
    <xf numFmtId="0" fontId="5" fillId="4" borderId="14" applyAlignment="1" pivotButton="0" quotePrefix="0" xfId="0">
      <alignment horizontal="left" vertical="center" wrapText="1"/>
    </xf>
    <xf numFmtId="0" fontId="19" fillId="0" borderId="15" applyAlignment="1" pivotButton="0" quotePrefix="0" xfId="0">
      <alignment horizontal="center" vertical="center" wrapText="1"/>
    </xf>
    <xf numFmtId="0" fontId="4" fillId="4" borderId="1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general" vertical="center" wrapText="1"/>
    </xf>
    <xf numFmtId="3" fontId="4" fillId="4" borderId="12" applyAlignment="1" pivotButton="0" quotePrefix="0" xfId="16">
      <alignment horizontal="general" vertical="center" wrapText="1"/>
    </xf>
    <xf numFmtId="0" fontId="4" fillId="0" borderId="14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left" vertical="center" wrapText="1"/>
    </xf>
    <xf numFmtId="0" fontId="20" fillId="4" borderId="17" applyAlignment="1" pivotButton="0" quotePrefix="0" xfId="0">
      <alignment horizontal="center" vertical="center" wrapText="1"/>
    </xf>
    <xf numFmtId="0" fontId="21" fillId="5" borderId="18" applyAlignment="1" pivotButton="0" quotePrefix="0" xfId="0">
      <alignment horizontal="center" vertical="center" wrapText="1"/>
    </xf>
    <xf numFmtId="0" fontId="21" fillId="5" borderId="3" applyAlignment="1" pivotButton="0" quotePrefix="0" xfId="0">
      <alignment horizontal="center" vertical="center" wrapText="1"/>
    </xf>
    <xf numFmtId="3" fontId="20" fillId="5" borderId="3" applyAlignment="1" pivotButton="0" quotePrefix="0" xfId="16">
      <alignment horizontal="general" vertical="center" wrapText="1"/>
    </xf>
    <xf numFmtId="0" fontId="17" fillId="5" borderId="19" applyAlignment="1" pivotButton="0" quotePrefix="0" xfId="0">
      <alignment horizontal="right" vertical="bottom"/>
    </xf>
    <xf numFmtId="0" fontId="17" fillId="2" borderId="18" applyAlignment="1" pivotButton="0" quotePrefix="0" xfId="0">
      <alignment horizontal="center" vertical="center" wrapText="1"/>
    </xf>
    <xf numFmtId="3" fontId="22" fillId="2" borderId="3" applyAlignment="1" pivotButton="0" quotePrefix="0" xfId="16">
      <alignment horizontal="general" vertical="center" wrapText="1"/>
    </xf>
    <xf numFmtId="3" fontId="17" fillId="2" borderId="3" applyAlignment="1" pivotButton="0" quotePrefix="0" xfId="16">
      <alignment horizontal="general" vertical="center"/>
    </xf>
    <xf numFmtId="0" fontId="17" fillId="2" borderId="20" applyAlignment="1" pivotButton="0" quotePrefix="0" xfId="0">
      <alignment horizontal="center" vertical="center"/>
    </xf>
    <xf numFmtId="10" fontId="21" fillId="2" borderId="21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  <xf numFmtId="164" fontId="4" fillId="0" borderId="0" applyAlignment="1" pivotButton="0" quotePrefix="0" xfId="16">
      <alignment horizontal="general" vertical="bottom"/>
    </xf>
    <xf numFmtId="164" fontId="4" fillId="0" borderId="0" applyAlignment="1" pivotButton="0" quotePrefix="0" xfId="0">
      <alignment horizontal="general" vertical="bottom"/>
    </xf>
    <xf numFmtId="164" fontId="4" fillId="4" borderId="10" applyAlignment="1" pivotButton="0" quotePrefix="0" xfId="16">
      <alignment horizontal="center" vertical="center" wrapText="1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center"/>
    </xf>
    <xf numFmtId="0" fontId="11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general" vertical="bottom"/>
    </xf>
    <xf numFmtId="9" fontId="16" fillId="0" borderId="1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0" fillId="0" borderId="24" pivotButton="0" quotePrefix="0" xfId="0"/>
    <xf numFmtId="0" fontId="17" fillId="2" borderId="4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 vertical="center" wrapText="1"/>
    </xf>
    <xf numFmtId="0" fontId="17" fillId="2" borderId="6" applyAlignment="1" pivotButton="0" quotePrefix="0" xfId="0">
      <alignment horizontal="center" vertical="center" wrapText="1"/>
    </xf>
    <xf numFmtId="0" fontId="17" fillId="2" borderId="7" applyAlignment="1" pivotButton="0" quotePrefix="0" xfId="0">
      <alignment horizontal="center" vertical="center" wrapText="1"/>
    </xf>
    <xf numFmtId="0" fontId="18" fillId="3" borderId="8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19" fillId="0" borderId="9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general" vertical="center" wrapText="1"/>
    </xf>
    <xf numFmtId="164" fontId="4" fillId="4" borderId="10" applyAlignment="1" pivotButton="0" quotePrefix="0" xfId="16">
      <alignment horizontal="right" vertical="center" wrapText="1"/>
    </xf>
    <xf numFmtId="3" fontId="4" fillId="4" borderId="10" applyAlignment="1" pivotButton="0" quotePrefix="0" xfId="16">
      <alignment horizontal="general" vertical="center" wrapText="1"/>
    </xf>
    <xf numFmtId="3" fontId="4" fillId="0" borderId="10" applyAlignment="1" pivotButton="0" quotePrefix="0" xfId="16">
      <alignment horizontal="general" vertical="center"/>
    </xf>
    <xf numFmtId="0" fontId="4" fillId="0" borderId="11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30" pivotButton="0" quotePrefix="0" xfId="0"/>
    <xf numFmtId="0" fontId="19" fillId="0" borderId="12" applyAlignment="1" pivotButton="0" quotePrefix="0" xfId="0">
      <alignment horizontal="center" vertical="center" wrapText="1"/>
    </xf>
    <xf numFmtId="0" fontId="4" fillId="4" borderId="12" applyAlignment="1" pivotButton="0" quotePrefix="0" xfId="0">
      <alignment horizontal="general" vertical="center" wrapText="1"/>
    </xf>
    <xf numFmtId="164" fontId="4" fillId="4" borderId="12" applyAlignment="1" pivotButton="0" quotePrefix="0" xfId="16">
      <alignment horizontal="right" vertical="center" wrapText="1"/>
    </xf>
    <xf numFmtId="0" fontId="0" fillId="0" borderId="9" pivotButton="0" quotePrefix="0" xfId="0"/>
    <xf numFmtId="0" fontId="0" fillId="0" borderId="10" pivotButton="0" quotePrefix="0" xfId="0"/>
    <xf numFmtId="0" fontId="20" fillId="4" borderId="13" applyAlignment="1" pivotButton="0" quotePrefix="0" xfId="0">
      <alignment horizontal="center" vertical="center" wrapText="1"/>
    </xf>
    <xf numFmtId="0" fontId="0" fillId="0" borderId="32" pivotButton="0" quotePrefix="0" xfId="0"/>
    <xf numFmtId="0" fontId="5" fillId="4" borderId="12" applyAlignment="1" pivotButton="0" quotePrefix="0" xfId="0">
      <alignment horizontal="center" vertical="center" wrapText="1"/>
    </xf>
    <xf numFmtId="3" fontId="5" fillId="4" borderId="12" applyAlignment="1" pivotButton="0" quotePrefix="0" xfId="16">
      <alignment horizontal="general" vertical="center" wrapText="1"/>
    </xf>
    <xf numFmtId="3" fontId="5" fillId="4" borderId="12" applyAlignment="1" pivotButton="0" quotePrefix="0" xfId="16">
      <alignment horizontal="general" vertical="center"/>
    </xf>
    <xf numFmtId="0" fontId="5" fillId="4" borderId="14" applyAlignment="1" pivotButton="0" quotePrefix="0" xfId="0">
      <alignment horizontal="left" vertical="center" wrapText="1"/>
    </xf>
    <xf numFmtId="0" fontId="19" fillId="0" borderId="15" applyAlignment="1" pivotButton="0" quotePrefix="0" xfId="0">
      <alignment horizontal="center" vertical="center" wrapText="1"/>
    </xf>
    <xf numFmtId="0" fontId="4" fillId="4" borderId="12" applyAlignment="1" pivotButton="0" quotePrefix="0" xfId="0">
      <alignment horizontal="center" vertical="center" wrapText="1"/>
    </xf>
    <xf numFmtId="0" fontId="0" fillId="0" borderId="34" pivotButton="0" quotePrefix="0" xfId="0"/>
    <xf numFmtId="0" fontId="4" fillId="4" borderId="16" applyAlignment="1" pivotButton="0" quotePrefix="0" xfId="0">
      <alignment horizontal="general" vertical="center" wrapText="1"/>
    </xf>
    <xf numFmtId="3" fontId="4" fillId="4" borderId="12" applyAlignment="1" pivotButton="0" quotePrefix="0" xfId="16">
      <alignment horizontal="general" vertical="center" wrapText="1"/>
    </xf>
    <xf numFmtId="0" fontId="4" fillId="0" borderId="14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left" vertical="center" wrapText="1"/>
    </xf>
    <xf numFmtId="0" fontId="20" fillId="4" borderId="17" applyAlignment="1" pivotButton="0" quotePrefix="0" xfId="0">
      <alignment horizontal="center" vertical="center" wrapText="1"/>
    </xf>
    <xf numFmtId="0" fontId="0" fillId="0" borderId="35" pivotButton="0" quotePrefix="0" xfId="0"/>
    <xf numFmtId="0" fontId="21" fillId="5" borderId="18" applyAlignment="1" pivotButton="0" quotePrefix="0" xfId="0">
      <alignment horizontal="center" vertical="center" wrapText="1"/>
    </xf>
    <xf numFmtId="0" fontId="21" fillId="5" borderId="3" applyAlignment="1" pivotButton="0" quotePrefix="0" xfId="0">
      <alignment horizontal="center" vertical="center" wrapText="1"/>
    </xf>
    <xf numFmtId="3" fontId="20" fillId="5" borderId="3" applyAlignment="1" pivotButton="0" quotePrefix="0" xfId="16">
      <alignment horizontal="general" vertical="center" wrapText="1"/>
    </xf>
    <xf numFmtId="0" fontId="17" fillId="5" borderId="19" applyAlignment="1" pivotButton="0" quotePrefix="0" xfId="0">
      <alignment horizontal="right" vertical="bottom"/>
    </xf>
    <xf numFmtId="0" fontId="17" fillId="2" borderId="18" applyAlignment="1" pivotButton="0" quotePrefix="0" xfId="0">
      <alignment horizontal="center" vertical="center" wrapText="1"/>
    </xf>
    <xf numFmtId="0" fontId="0" fillId="0" borderId="22" pivotButton="0" quotePrefix="0" xfId="0"/>
    <xf numFmtId="3" fontId="22" fillId="2" borderId="3" applyAlignment="1" pivotButton="0" quotePrefix="0" xfId="16">
      <alignment horizontal="general" vertical="center" wrapText="1"/>
    </xf>
    <xf numFmtId="3" fontId="17" fillId="2" borderId="3" applyAlignment="1" pivotButton="0" quotePrefix="0" xfId="16">
      <alignment horizontal="general" vertical="center"/>
    </xf>
    <xf numFmtId="0" fontId="17" fillId="2" borderId="20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1" pivotButton="0" quotePrefix="0" xfId="0"/>
    <xf numFmtId="0" fontId="0" fillId="0" borderId="37" pivotButton="0" quotePrefix="0" xfId="0"/>
    <xf numFmtId="10" fontId="21" fillId="2" borderId="21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general" vertical="center" wrapText="1"/>
    </xf>
    <xf numFmtId="0" fontId="0" fillId="0" borderId="7" pivotButton="0" quotePrefix="0" xfId="0"/>
    <xf numFmtId="0" fontId="0" fillId="0" borderId="39" pivotButton="0" quotePrefix="0" xfId="0"/>
    <xf numFmtId="0" fontId="5" fillId="0" borderId="0" applyAlignment="1" pivotButton="0" quotePrefix="0" xfId="0">
      <alignment horizontal="general" vertical="bottom"/>
    </xf>
    <xf numFmtId="164" fontId="4" fillId="0" borderId="0" applyAlignment="1" pivotButton="0" quotePrefix="0" xfId="16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0" fillId="0" borderId="33" pivotButton="0" quotePrefix="0" xfId="0"/>
    <xf numFmtId="164" fontId="4" fillId="4" borderId="10" applyAlignment="1" pivotButton="0" quotePrefix="0" xfId="16">
      <alignment horizontal="center" vertical="center" wrapText="1"/>
    </xf>
    <xf numFmtId="0" fontId="0" fillId="0" borderId="2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8</col>
      <colOff>42840</colOff>
      <row>3</row>
      <rowOff>37440</rowOff>
    </from>
    <to>
      <col>9</col>
      <colOff>879840</colOff>
      <row>5</row>
      <rowOff>47160</rowOff>
    </to>
    <pic>
      <nvPicPr>
        <cNvPr id="1" name="그림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234120" y="1389960"/>
          <a:ext cx="1860480" cy="581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7</col>
      <colOff>43200</colOff>
      <row>3</row>
      <rowOff>37440</rowOff>
    </from>
    <to>
      <col>8</col>
      <colOff>879840</colOff>
      <row>5</row>
      <rowOff>47160</rowOff>
    </to>
    <pic>
      <nvPicPr>
        <cNvPr id="2" name="그림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620320" y="1389960"/>
          <a:ext cx="1860480" cy="581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W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7890625" defaultRowHeight="12" customHeight="0" zeroHeight="0" outlineLevelRow="0"/>
  <cols>
    <col width="1.77" customWidth="1" style="70" min="1" max="1"/>
    <col width="5.55" customWidth="1" style="70" min="2" max="2"/>
    <col width="5.99" customWidth="1" style="70" min="3" max="3"/>
    <col width="14.99" customWidth="1" style="70" min="4" max="4"/>
    <col width="26.43" customWidth="1" style="70" min="5" max="5"/>
    <col width="5.32" customWidth="1" style="71" min="6" max="6"/>
    <col width="13.32" customWidth="1" style="70" min="7" max="7"/>
    <col width="7.21" customWidth="1" style="71" min="8" max="8"/>
    <col width="13.32" customWidth="1" style="70" min="9" max="9"/>
    <col width="17.87" customWidth="1" style="70" min="10" max="10"/>
    <col width="16.77" customWidth="1" style="70" min="11" max="11"/>
    <col width="1.77" customWidth="1" style="70" min="12" max="12"/>
    <col width="8.869999999999999" customWidth="1" style="70" min="13" max="257"/>
  </cols>
  <sheetData>
    <row r="1" ht="43.5" customHeight="1" s="72">
      <c r="A1" s="73" t="n"/>
      <c r="B1" s="74" t="inlineStr">
        <is>
          <t>견    적    서</t>
        </is>
      </c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73" t="n"/>
      <c r="Y1" s="73" t="n"/>
      <c r="Z1" s="73" t="n"/>
      <c r="AA1" s="73" t="n"/>
      <c r="AB1" s="73" t="n"/>
      <c r="AC1" s="73" t="n"/>
      <c r="AD1" s="73" t="n"/>
      <c r="AE1" s="73" t="n"/>
      <c r="AF1" s="73" t="n"/>
      <c r="AG1" s="73" t="n"/>
      <c r="AH1" s="73" t="n"/>
      <c r="AI1" s="73" t="n"/>
      <c r="AJ1" s="73" t="n"/>
      <c r="AK1" s="73" t="n"/>
      <c r="AL1" s="73" t="n"/>
      <c r="AM1" s="73" t="n"/>
      <c r="AN1" s="73" t="n"/>
      <c r="AO1" s="73" t="n"/>
      <c r="AP1" s="73" t="n"/>
      <c r="AQ1" s="73" t="n"/>
      <c r="AR1" s="73" t="n"/>
      <c r="AS1" s="73" t="n"/>
      <c r="AT1" s="73" t="n"/>
      <c r="AU1" s="73" t="n"/>
      <c r="AV1" s="73" t="n"/>
      <c r="AW1" s="73" t="n"/>
      <c r="AX1" s="73" t="n"/>
      <c r="AY1" s="73" t="n"/>
      <c r="AZ1" s="73" t="n"/>
      <c r="BA1" s="73" t="n"/>
      <c r="BB1" s="73" t="n"/>
      <c r="BC1" s="73" t="n"/>
      <c r="BD1" s="73" t="n"/>
      <c r="BE1" s="73" t="n"/>
      <c r="BF1" s="73" t="n"/>
      <c r="BG1" s="73" t="n"/>
      <c r="BH1" s="73" t="n"/>
      <c r="BI1" s="73" t="n"/>
      <c r="BJ1" s="73" t="n"/>
      <c r="BK1" s="73" t="n"/>
      <c r="BL1" s="73" t="n"/>
      <c r="BM1" s="73" t="n"/>
      <c r="BN1" s="73" t="n"/>
      <c r="BO1" s="73" t="n"/>
      <c r="BP1" s="73" t="n"/>
      <c r="BQ1" s="73" t="n"/>
      <c r="BR1" s="73" t="n"/>
      <c r="BS1" s="73" t="n"/>
      <c r="BT1" s="73" t="n"/>
      <c r="BU1" s="73" t="n"/>
      <c r="BV1" s="73" t="n"/>
      <c r="BW1" s="73" t="n"/>
      <c r="BX1" s="73" t="n"/>
      <c r="BY1" s="73" t="n"/>
      <c r="BZ1" s="73" t="n"/>
      <c r="CA1" s="73" t="n"/>
      <c r="CB1" s="73" t="n"/>
      <c r="CC1" s="73" t="n"/>
      <c r="CD1" s="73" t="n"/>
      <c r="CE1" s="73" t="n"/>
      <c r="CF1" s="73" t="n"/>
      <c r="CG1" s="73" t="n"/>
      <c r="CH1" s="73" t="n"/>
      <c r="CI1" s="73" t="n"/>
      <c r="CJ1" s="73" t="n"/>
      <c r="CK1" s="73" t="n"/>
      <c r="CL1" s="73" t="n"/>
      <c r="CM1" s="73" t="n"/>
      <c r="CN1" s="73" t="n"/>
      <c r="CO1" s="73" t="n"/>
      <c r="CP1" s="73" t="n"/>
      <c r="CQ1" s="73" t="n"/>
      <c r="CR1" s="73" t="n"/>
      <c r="CS1" s="73" t="n"/>
      <c r="CT1" s="73" t="n"/>
      <c r="CU1" s="73" t="n"/>
      <c r="CV1" s="73" t="n"/>
      <c r="CW1" s="73" t="n"/>
      <c r="CX1" s="73" t="n"/>
      <c r="CY1" s="73" t="n"/>
      <c r="CZ1" s="73" t="n"/>
      <c r="DA1" s="73" t="n"/>
      <c r="DB1" s="73" t="n"/>
      <c r="DC1" s="73" t="n"/>
      <c r="DD1" s="73" t="n"/>
      <c r="DE1" s="73" t="n"/>
      <c r="DF1" s="73" t="n"/>
      <c r="DG1" s="73" t="n"/>
      <c r="DH1" s="73" t="n"/>
      <c r="DI1" s="73" t="n"/>
      <c r="DJ1" s="73" t="n"/>
      <c r="DK1" s="73" t="n"/>
      <c r="DL1" s="73" t="n"/>
      <c r="DM1" s="73" t="n"/>
      <c r="DN1" s="73" t="n"/>
      <c r="DO1" s="73" t="n"/>
      <c r="DP1" s="73" t="n"/>
      <c r="DQ1" s="73" t="n"/>
      <c r="DR1" s="73" t="n"/>
      <c r="DS1" s="73" t="n"/>
      <c r="DT1" s="73" t="n"/>
      <c r="DU1" s="73" t="n"/>
      <c r="DV1" s="73" t="n"/>
      <c r="DW1" s="73" t="n"/>
      <c r="DX1" s="73" t="n"/>
      <c r="DY1" s="73" t="n"/>
      <c r="DZ1" s="73" t="n"/>
      <c r="EA1" s="73" t="n"/>
      <c r="EB1" s="73" t="n"/>
      <c r="EC1" s="73" t="n"/>
      <c r="ED1" s="73" t="n"/>
      <c r="EE1" s="73" t="n"/>
      <c r="EF1" s="73" t="n"/>
      <c r="EG1" s="73" t="n"/>
      <c r="EH1" s="73" t="n"/>
      <c r="EI1" s="73" t="n"/>
      <c r="EJ1" s="73" t="n"/>
      <c r="EK1" s="73" t="n"/>
      <c r="EL1" s="73" t="n"/>
      <c r="EM1" s="73" t="n"/>
      <c r="EN1" s="73" t="n"/>
      <c r="EO1" s="73" t="n"/>
      <c r="EP1" s="73" t="n"/>
      <c r="EQ1" s="73" t="n"/>
      <c r="ER1" s="73" t="n"/>
      <c r="ES1" s="73" t="n"/>
      <c r="ET1" s="73" t="n"/>
      <c r="EU1" s="73" t="n"/>
      <c r="EV1" s="73" t="n"/>
      <c r="EW1" s="73" t="n"/>
      <c r="EX1" s="73" t="n"/>
      <c r="EY1" s="73" t="n"/>
      <c r="EZ1" s="73" t="n"/>
      <c r="FA1" s="73" t="n"/>
      <c r="FB1" s="73" t="n"/>
      <c r="FC1" s="73" t="n"/>
      <c r="FD1" s="73" t="n"/>
      <c r="FE1" s="73" t="n"/>
      <c r="FF1" s="73" t="n"/>
      <c r="FG1" s="73" t="n"/>
      <c r="FH1" s="73" t="n"/>
      <c r="FI1" s="73" t="n"/>
      <c r="FJ1" s="73" t="n"/>
      <c r="FK1" s="73" t="n"/>
      <c r="FL1" s="73" t="n"/>
      <c r="FM1" s="73" t="n"/>
      <c r="FN1" s="73" t="n"/>
      <c r="FO1" s="73" t="n"/>
      <c r="FP1" s="73" t="n"/>
      <c r="FQ1" s="73" t="n"/>
      <c r="FR1" s="73" t="n"/>
      <c r="FS1" s="73" t="n"/>
      <c r="FT1" s="73" t="n"/>
      <c r="FU1" s="73" t="n"/>
      <c r="FV1" s="73" t="n"/>
      <c r="FW1" s="73" t="n"/>
      <c r="FX1" s="73" t="n"/>
      <c r="FY1" s="73" t="n"/>
      <c r="FZ1" s="73" t="n"/>
      <c r="GA1" s="73" t="n"/>
      <c r="GB1" s="73" t="n"/>
      <c r="GC1" s="73" t="n"/>
      <c r="GD1" s="73" t="n"/>
      <c r="GE1" s="73" t="n"/>
      <c r="GF1" s="73" t="n"/>
      <c r="GG1" s="73" t="n"/>
      <c r="GH1" s="73" t="n"/>
      <c r="GI1" s="73" t="n"/>
      <c r="GJ1" s="73" t="n"/>
      <c r="GK1" s="73" t="n"/>
      <c r="GL1" s="73" t="n"/>
      <c r="GM1" s="73" t="n"/>
      <c r="GN1" s="73" t="n"/>
      <c r="GO1" s="73" t="n"/>
      <c r="GP1" s="73" t="n"/>
      <c r="GQ1" s="73" t="n"/>
      <c r="GR1" s="73" t="n"/>
      <c r="GS1" s="73" t="n"/>
      <c r="GT1" s="73" t="n"/>
      <c r="GU1" s="73" t="n"/>
      <c r="GV1" s="73" t="n"/>
      <c r="GW1" s="73" t="n"/>
      <c r="GX1" s="73" t="n"/>
      <c r="GY1" s="73" t="n"/>
      <c r="GZ1" s="73" t="n"/>
      <c r="HA1" s="73" t="n"/>
      <c r="HB1" s="73" t="n"/>
      <c r="HC1" s="73" t="n"/>
      <c r="HD1" s="73" t="n"/>
      <c r="HE1" s="73" t="n"/>
      <c r="HF1" s="73" t="n"/>
      <c r="HG1" s="73" t="n"/>
      <c r="HH1" s="73" t="n"/>
      <c r="HI1" s="73" t="n"/>
      <c r="HJ1" s="73" t="n"/>
      <c r="HK1" s="73" t="n"/>
      <c r="HL1" s="73" t="n"/>
      <c r="HM1" s="73" t="n"/>
      <c r="HN1" s="73" t="n"/>
      <c r="HO1" s="73" t="n"/>
      <c r="HP1" s="73" t="n"/>
      <c r="HQ1" s="73" t="n"/>
      <c r="HR1" s="73" t="n"/>
      <c r="HS1" s="73" t="n"/>
      <c r="HT1" s="73" t="n"/>
      <c r="HU1" s="73" t="n"/>
      <c r="HV1" s="73" t="n"/>
      <c r="HW1" s="73" t="n"/>
      <c r="HX1" s="73" t="n"/>
      <c r="HY1" s="73" t="n"/>
      <c r="HZ1" s="73" t="n"/>
      <c r="IA1" s="73" t="n"/>
      <c r="IB1" s="73" t="n"/>
      <c r="IC1" s="73" t="n"/>
      <c r="ID1" s="73" t="n"/>
      <c r="IE1" s="73" t="n"/>
      <c r="IF1" s="73" t="n"/>
      <c r="IG1" s="73" t="n"/>
      <c r="IH1" s="73" t="n"/>
      <c r="II1" s="73" t="n"/>
      <c r="IJ1" s="73" t="n"/>
      <c r="IK1" s="73" t="n"/>
      <c r="IL1" s="73" t="n"/>
      <c r="IM1" s="73" t="n"/>
      <c r="IN1" s="73" t="n"/>
      <c r="IO1" s="73" t="n"/>
      <c r="IP1" s="73" t="n"/>
      <c r="IQ1" s="73" t="n"/>
      <c r="IR1" s="73" t="n"/>
      <c r="IS1" s="73" t="n"/>
      <c r="IT1" s="73" t="n"/>
      <c r="IU1" s="73" t="n"/>
      <c r="IV1" s="73" t="n"/>
      <c r="IW1" s="73" t="n"/>
    </row>
    <row r="2" ht="31.5" customHeight="1" s="72">
      <c r="A2" s="73" t="n"/>
      <c r="B2" s="73" t="n"/>
      <c r="C2" s="73" t="n"/>
      <c r="D2" s="73" t="n"/>
      <c r="E2" s="75" t="n"/>
      <c r="F2" s="76" t="n"/>
      <c r="G2" s="75" t="n"/>
      <c r="H2" s="76" t="n"/>
      <c r="I2" s="75" t="n"/>
      <c r="J2" s="75" t="n"/>
      <c r="K2" s="77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73" t="n"/>
      <c r="Y2" s="73" t="n"/>
      <c r="Z2" s="73" t="n"/>
      <c r="AA2" s="73" t="n"/>
      <c r="AB2" s="73" t="n"/>
      <c r="AC2" s="73" t="n"/>
      <c r="AD2" s="73" t="n"/>
      <c r="AE2" s="73" t="n"/>
      <c r="AF2" s="73" t="n"/>
      <c r="AG2" s="73" t="n"/>
      <c r="AH2" s="73" t="n"/>
      <c r="AI2" s="73" t="n"/>
      <c r="AJ2" s="73" t="n"/>
      <c r="AK2" s="73" t="n"/>
      <c r="AL2" s="73" t="n"/>
      <c r="AM2" s="73" t="n"/>
      <c r="AN2" s="73" t="n"/>
      <c r="AO2" s="73" t="n"/>
      <c r="AP2" s="73" t="n"/>
      <c r="AQ2" s="73" t="n"/>
      <c r="AR2" s="73" t="n"/>
      <c r="AS2" s="73" t="n"/>
      <c r="AT2" s="73" t="n"/>
      <c r="AU2" s="73" t="n"/>
      <c r="AV2" s="73" t="n"/>
      <c r="AW2" s="73" t="n"/>
      <c r="AX2" s="73" t="n"/>
      <c r="AY2" s="73" t="n"/>
      <c r="AZ2" s="73" t="n"/>
      <c r="BA2" s="73" t="n"/>
      <c r="BB2" s="73" t="n"/>
      <c r="BC2" s="73" t="n"/>
      <c r="BD2" s="73" t="n"/>
      <c r="BE2" s="73" t="n"/>
      <c r="BF2" s="73" t="n"/>
      <c r="BG2" s="73" t="n"/>
      <c r="BH2" s="73" t="n"/>
      <c r="BI2" s="73" t="n"/>
      <c r="BJ2" s="73" t="n"/>
      <c r="BK2" s="73" t="n"/>
      <c r="BL2" s="73" t="n"/>
      <c r="BM2" s="73" t="n"/>
      <c r="BN2" s="73" t="n"/>
      <c r="BO2" s="73" t="n"/>
      <c r="BP2" s="73" t="n"/>
      <c r="BQ2" s="73" t="n"/>
      <c r="BR2" s="73" t="n"/>
      <c r="BS2" s="73" t="n"/>
      <c r="BT2" s="73" t="n"/>
      <c r="BU2" s="73" t="n"/>
      <c r="BV2" s="73" t="n"/>
      <c r="BW2" s="73" t="n"/>
      <c r="BX2" s="73" t="n"/>
      <c r="BY2" s="73" t="n"/>
      <c r="BZ2" s="73" t="n"/>
      <c r="CA2" s="73" t="n"/>
      <c r="CB2" s="73" t="n"/>
      <c r="CC2" s="73" t="n"/>
      <c r="CD2" s="73" t="n"/>
      <c r="CE2" s="73" t="n"/>
      <c r="CF2" s="73" t="n"/>
      <c r="CG2" s="73" t="n"/>
      <c r="CH2" s="73" t="n"/>
      <c r="CI2" s="73" t="n"/>
      <c r="CJ2" s="73" t="n"/>
      <c r="CK2" s="73" t="n"/>
      <c r="CL2" s="73" t="n"/>
      <c r="CM2" s="73" t="n"/>
      <c r="CN2" s="73" t="n"/>
      <c r="CO2" s="73" t="n"/>
      <c r="CP2" s="73" t="n"/>
      <c r="CQ2" s="73" t="n"/>
      <c r="CR2" s="73" t="n"/>
      <c r="CS2" s="73" t="n"/>
      <c r="CT2" s="73" t="n"/>
      <c r="CU2" s="73" t="n"/>
      <c r="CV2" s="73" t="n"/>
      <c r="CW2" s="73" t="n"/>
      <c r="CX2" s="73" t="n"/>
      <c r="CY2" s="73" t="n"/>
      <c r="CZ2" s="73" t="n"/>
      <c r="DA2" s="73" t="n"/>
      <c r="DB2" s="73" t="n"/>
      <c r="DC2" s="73" t="n"/>
      <c r="DD2" s="73" t="n"/>
      <c r="DE2" s="73" t="n"/>
      <c r="DF2" s="73" t="n"/>
      <c r="DG2" s="73" t="n"/>
      <c r="DH2" s="73" t="n"/>
      <c r="DI2" s="73" t="n"/>
      <c r="DJ2" s="73" t="n"/>
      <c r="DK2" s="73" t="n"/>
      <c r="DL2" s="73" t="n"/>
      <c r="DM2" s="73" t="n"/>
      <c r="DN2" s="73" t="n"/>
      <c r="DO2" s="73" t="n"/>
      <c r="DP2" s="73" t="n"/>
      <c r="DQ2" s="73" t="n"/>
      <c r="DR2" s="73" t="n"/>
      <c r="DS2" s="73" t="n"/>
      <c r="DT2" s="73" t="n"/>
      <c r="DU2" s="73" t="n"/>
      <c r="DV2" s="73" t="n"/>
      <c r="DW2" s="73" t="n"/>
      <c r="DX2" s="73" t="n"/>
      <c r="DY2" s="73" t="n"/>
      <c r="DZ2" s="73" t="n"/>
      <c r="EA2" s="73" t="n"/>
      <c r="EB2" s="73" t="n"/>
      <c r="EC2" s="73" t="n"/>
      <c r="ED2" s="73" t="n"/>
      <c r="EE2" s="73" t="n"/>
      <c r="EF2" s="73" t="n"/>
      <c r="EG2" s="73" t="n"/>
      <c r="EH2" s="73" t="n"/>
      <c r="EI2" s="73" t="n"/>
      <c r="EJ2" s="73" t="n"/>
      <c r="EK2" s="73" t="n"/>
      <c r="EL2" s="73" t="n"/>
      <c r="EM2" s="73" t="n"/>
      <c r="EN2" s="73" t="n"/>
      <c r="EO2" s="73" t="n"/>
      <c r="EP2" s="73" t="n"/>
      <c r="EQ2" s="73" t="n"/>
      <c r="ER2" s="73" t="n"/>
      <c r="ES2" s="73" t="n"/>
      <c r="ET2" s="73" t="n"/>
      <c r="EU2" s="73" t="n"/>
      <c r="EV2" s="73" t="n"/>
      <c r="EW2" s="73" t="n"/>
      <c r="EX2" s="73" t="n"/>
      <c r="EY2" s="73" t="n"/>
      <c r="EZ2" s="73" t="n"/>
      <c r="FA2" s="73" t="n"/>
      <c r="FB2" s="73" t="n"/>
      <c r="FC2" s="73" t="n"/>
      <c r="FD2" s="73" t="n"/>
      <c r="FE2" s="73" t="n"/>
      <c r="FF2" s="73" t="n"/>
      <c r="FG2" s="73" t="n"/>
      <c r="FH2" s="73" t="n"/>
      <c r="FI2" s="73" t="n"/>
      <c r="FJ2" s="73" t="n"/>
      <c r="FK2" s="73" t="n"/>
      <c r="FL2" s="73" t="n"/>
      <c r="FM2" s="73" t="n"/>
      <c r="FN2" s="73" t="n"/>
      <c r="FO2" s="73" t="n"/>
      <c r="FP2" s="73" t="n"/>
      <c r="FQ2" s="73" t="n"/>
      <c r="FR2" s="73" t="n"/>
      <c r="FS2" s="73" t="n"/>
      <c r="FT2" s="73" t="n"/>
      <c r="FU2" s="73" t="n"/>
      <c r="FV2" s="73" t="n"/>
      <c r="FW2" s="73" t="n"/>
      <c r="FX2" s="73" t="n"/>
      <c r="FY2" s="73" t="n"/>
      <c r="FZ2" s="73" t="n"/>
      <c r="GA2" s="73" t="n"/>
      <c r="GB2" s="73" t="n"/>
      <c r="GC2" s="73" t="n"/>
      <c r="GD2" s="73" t="n"/>
      <c r="GE2" s="73" t="n"/>
      <c r="GF2" s="73" t="n"/>
      <c r="GG2" s="73" t="n"/>
      <c r="GH2" s="73" t="n"/>
      <c r="GI2" s="73" t="n"/>
      <c r="GJ2" s="73" t="n"/>
      <c r="GK2" s="73" t="n"/>
      <c r="GL2" s="73" t="n"/>
      <c r="GM2" s="73" t="n"/>
      <c r="GN2" s="73" t="n"/>
      <c r="GO2" s="73" t="n"/>
      <c r="GP2" s="73" t="n"/>
      <c r="GQ2" s="73" t="n"/>
      <c r="GR2" s="73" t="n"/>
      <c r="GS2" s="73" t="n"/>
      <c r="GT2" s="73" t="n"/>
      <c r="GU2" s="73" t="n"/>
      <c r="GV2" s="73" t="n"/>
      <c r="GW2" s="73" t="n"/>
      <c r="GX2" s="73" t="n"/>
      <c r="GY2" s="73" t="n"/>
      <c r="GZ2" s="73" t="n"/>
      <c r="HA2" s="73" t="n"/>
      <c r="HB2" s="73" t="n"/>
      <c r="HC2" s="73" t="n"/>
      <c r="HD2" s="73" t="n"/>
      <c r="HE2" s="73" t="n"/>
      <c r="HF2" s="73" t="n"/>
      <c r="HG2" s="73" t="n"/>
      <c r="HH2" s="73" t="n"/>
      <c r="HI2" s="73" t="n"/>
      <c r="HJ2" s="73" t="n"/>
      <c r="HK2" s="73" t="n"/>
      <c r="HL2" s="73" t="n"/>
      <c r="HM2" s="73" t="n"/>
      <c r="HN2" s="73" t="n"/>
      <c r="HO2" s="73" t="n"/>
      <c r="HP2" s="73" t="n"/>
      <c r="HQ2" s="73" t="n"/>
      <c r="HR2" s="73" t="n"/>
      <c r="HS2" s="73" t="n"/>
      <c r="HT2" s="73" t="n"/>
      <c r="HU2" s="73" t="n"/>
      <c r="HV2" s="73" t="n"/>
      <c r="HW2" s="73" t="n"/>
      <c r="HX2" s="73" t="n"/>
      <c r="HY2" s="73" t="n"/>
      <c r="HZ2" s="73" t="n"/>
      <c r="IA2" s="73" t="n"/>
      <c r="IB2" s="73" t="n"/>
      <c r="IC2" s="73" t="n"/>
      <c r="ID2" s="73" t="n"/>
      <c r="IE2" s="73" t="n"/>
      <c r="IF2" s="73" t="n"/>
      <c r="IG2" s="73" t="n"/>
      <c r="IH2" s="73" t="n"/>
      <c r="II2" s="73" t="n"/>
      <c r="IJ2" s="73" t="n"/>
      <c r="IK2" s="73" t="n"/>
      <c r="IL2" s="73" t="n"/>
      <c r="IM2" s="73" t="n"/>
      <c r="IN2" s="73" t="n"/>
      <c r="IO2" s="73" t="n"/>
      <c r="IP2" s="73" t="n"/>
      <c r="IQ2" s="73" t="n"/>
      <c r="IR2" s="73" t="n"/>
      <c r="IS2" s="73" t="n"/>
      <c r="IT2" s="73" t="n"/>
      <c r="IU2" s="73" t="n"/>
      <c r="IV2" s="73" t="n"/>
      <c r="IW2" s="73" t="n"/>
    </row>
    <row r="3" ht="31.5" customHeight="1" s="72">
      <c r="A3" s="73" t="n"/>
      <c r="B3" s="73" t="n"/>
      <c r="C3" s="73" t="n"/>
      <c r="D3" s="73" t="n"/>
      <c r="E3" s="75" t="n"/>
      <c r="F3" s="76" t="n"/>
      <c r="G3" s="75" t="n"/>
      <c r="H3" s="76" t="n"/>
      <c r="I3" s="75" t="n"/>
      <c r="J3" s="75" t="n"/>
      <c r="K3" s="77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Z3" s="73" t="n"/>
      <c r="AA3" s="73" t="n"/>
      <c r="AB3" s="73" t="n"/>
      <c r="AC3" s="73" t="n"/>
      <c r="AD3" s="73" t="n"/>
      <c r="AE3" s="73" t="n"/>
      <c r="AF3" s="73" t="n"/>
      <c r="AG3" s="73" t="n"/>
      <c r="AH3" s="73" t="n"/>
      <c r="AI3" s="73" t="n"/>
      <c r="AJ3" s="73" t="n"/>
      <c r="AK3" s="73" t="n"/>
      <c r="AL3" s="73" t="n"/>
      <c r="AM3" s="73" t="n"/>
      <c r="AN3" s="73" t="n"/>
      <c r="AO3" s="73" t="n"/>
      <c r="AP3" s="73" t="n"/>
      <c r="AQ3" s="73" t="n"/>
      <c r="AR3" s="73" t="n"/>
      <c r="AS3" s="73" t="n"/>
      <c r="AT3" s="73" t="n"/>
      <c r="AU3" s="73" t="n"/>
      <c r="AV3" s="73" t="n"/>
      <c r="AW3" s="73" t="n"/>
      <c r="AX3" s="73" t="n"/>
      <c r="AY3" s="73" t="n"/>
      <c r="AZ3" s="73" t="n"/>
      <c r="BA3" s="73" t="n"/>
      <c r="BB3" s="73" t="n"/>
      <c r="BC3" s="73" t="n"/>
      <c r="BD3" s="73" t="n"/>
      <c r="BE3" s="73" t="n"/>
      <c r="BF3" s="73" t="n"/>
      <c r="BG3" s="73" t="n"/>
      <c r="BH3" s="73" t="n"/>
      <c r="BI3" s="73" t="n"/>
      <c r="BJ3" s="73" t="n"/>
      <c r="BK3" s="73" t="n"/>
      <c r="BL3" s="73" t="n"/>
      <c r="BM3" s="73" t="n"/>
      <c r="BN3" s="73" t="n"/>
      <c r="BO3" s="73" t="n"/>
      <c r="BP3" s="73" t="n"/>
      <c r="BQ3" s="73" t="n"/>
      <c r="BR3" s="73" t="n"/>
      <c r="BS3" s="73" t="n"/>
      <c r="BT3" s="73" t="n"/>
      <c r="BU3" s="73" t="n"/>
      <c r="BV3" s="73" t="n"/>
      <c r="BW3" s="73" t="n"/>
      <c r="BX3" s="73" t="n"/>
      <c r="BY3" s="73" t="n"/>
      <c r="BZ3" s="73" t="n"/>
      <c r="CA3" s="73" t="n"/>
      <c r="CB3" s="73" t="n"/>
      <c r="CC3" s="73" t="n"/>
      <c r="CD3" s="73" t="n"/>
      <c r="CE3" s="73" t="n"/>
      <c r="CF3" s="73" t="n"/>
      <c r="CG3" s="73" t="n"/>
      <c r="CH3" s="73" t="n"/>
      <c r="CI3" s="73" t="n"/>
      <c r="CJ3" s="73" t="n"/>
      <c r="CK3" s="73" t="n"/>
      <c r="CL3" s="73" t="n"/>
      <c r="CM3" s="73" t="n"/>
      <c r="CN3" s="73" t="n"/>
      <c r="CO3" s="73" t="n"/>
      <c r="CP3" s="73" t="n"/>
      <c r="CQ3" s="73" t="n"/>
      <c r="CR3" s="73" t="n"/>
      <c r="CS3" s="73" t="n"/>
      <c r="CT3" s="73" t="n"/>
      <c r="CU3" s="73" t="n"/>
      <c r="CV3" s="73" t="n"/>
      <c r="CW3" s="73" t="n"/>
      <c r="CX3" s="73" t="n"/>
      <c r="CY3" s="73" t="n"/>
      <c r="CZ3" s="73" t="n"/>
      <c r="DA3" s="73" t="n"/>
      <c r="DB3" s="73" t="n"/>
      <c r="DC3" s="73" t="n"/>
      <c r="DD3" s="73" t="n"/>
      <c r="DE3" s="73" t="n"/>
      <c r="DF3" s="73" t="n"/>
      <c r="DG3" s="73" t="n"/>
      <c r="DH3" s="73" t="n"/>
      <c r="DI3" s="73" t="n"/>
      <c r="DJ3" s="73" t="n"/>
      <c r="DK3" s="73" t="n"/>
      <c r="DL3" s="73" t="n"/>
      <c r="DM3" s="73" t="n"/>
      <c r="DN3" s="73" t="n"/>
      <c r="DO3" s="73" t="n"/>
      <c r="DP3" s="73" t="n"/>
      <c r="DQ3" s="73" t="n"/>
      <c r="DR3" s="73" t="n"/>
      <c r="DS3" s="73" t="n"/>
      <c r="DT3" s="73" t="n"/>
      <c r="DU3" s="73" t="n"/>
      <c r="DV3" s="73" t="n"/>
      <c r="DW3" s="73" t="n"/>
      <c r="DX3" s="73" t="n"/>
      <c r="DY3" s="73" t="n"/>
      <c r="DZ3" s="73" t="n"/>
      <c r="EA3" s="73" t="n"/>
      <c r="EB3" s="73" t="n"/>
      <c r="EC3" s="73" t="n"/>
      <c r="ED3" s="73" t="n"/>
      <c r="EE3" s="73" t="n"/>
      <c r="EF3" s="73" t="n"/>
      <c r="EG3" s="73" t="n"/>
      <c r="EH3" s="73" t="n"/>
      <c r="EI3" s="73" t="n"/>
      <c r="EJ3" s="73" t="n"/>
      <c r="EK3" s="73" t="n"/>
      <c r="EL3" s="73" t="n"/>
      <c r="EM3" s="73" t="n"/>
      <c r="EN3" s="73" t="n"/>
      <c r="EO3" s="73" t="n"/>
      <c r="EP3" s="73" t="n"/>
      <c r="EQ3" s="73" t="n"/>
      <c r="ER3" s="73" t="n"/>
      <c r="ES3" s="73" t="n"/>
      <c r="ET3" s="73" t="n"/>
      <c r="EU3" s="73" t="n"/>
      <c r="EV3" s="73" t="n"/>
      <c r="EW3" s="73" t="n"/>
      <c r="EX3" s="73" t="n"/>
      <c r="EY3" s="73" t="n"/>
      <c r="EZ3" s="73" t="n"/>
      <c r="FA3" s="73" t="n"/>
      <c r="FB3" s="73" t="n"/>
      <c r="FC3" s="73" t="n"/>
      <c r="FD3" s="73" t="n"/>
      <c r="FE3" s="73" t="n"/>
      <c r="FF3" s="73" t="n"/>
      <c r="FG3" s="73" t="n"/>
      <c r="FH3" s="73" t="n"/>
      <c r="FI3" s="73" t="n"/>
      <c r="FJ3" s="73" t="n"/>
      <c r="FK3" s="73" t="n"/>
      <c r="FL3" s="73" t="n"/>
      <c r="FM3" s="73" t="n"/>
      <c r="FN3" s="73" t="n"/>
      <c r="FO3" s="73" t="n"/>
      <c r="FP3" s="73" t="n"/>
      <c r="FQ3" s="73" t="n"/>
      <c r="FR3" s="73" t="n"/>
      <c r="FS3" s="73" t="n"/>
      <c r="FT3" s="73" t="n"/>
      <c r="FU3" s="73" t="n"/>
      <c r="FV3" s="73" t="n"/>
      <c r="FW3" s="73" t="n"/>
      <c r="FX3" s="73" t="n"/>
      <c r="FY3" s="73" t="n"/>
      <c r="FZ3" s="73" t="n"/>
      <c r="GA3" s="73" t="n"/>
      <c r="GB3" s="73" t="n"/>
      <c r="GC3" s="73" t="n"/>
      <c r="GD3" s="73" t="n"/>
      <c r="GE3" s="73" t="n"/>
      <c r="GF3" s="73" t="n"/>
      <c r="GG3" s="73" t="n"/>
      <c r="GH3" s="73" t="n"/>
      <c r="GI3" s="73" t="n"/>
      <c r="GJ3" s="73" t="n"/>
      <c r="GK3" s="73" t="n"/>
      <c r="GL3" s="73" t="n"/>
      <c r="GM3" s="73" t="n"/>
      <c r="GN3" s="73" t="n"/>
      <c r="GO3" s="73" t="n"/>
      <c r="GP3" s="73" t="n"/>
      <c r="GQ3" s="73" t="n"/>
      <c r="GR3" s="73" t="n"/>
      <c r="GS3" s="73" t="n"/>
      <c r="GT3" s="73" t="n"/>
      <c r="GU3" s="73" t="n"/>
      <c r="GV3" s="73" t="n"/>
      <c r="GW3" s="73" t="n"/>
      <c r="GX3" s="73" t="n"/>
      <c r="GY3" s="73" t="n"/>
      <c r="GZ3" s="73" t="n"/>
      <c r="HA3" s="73" t="n"/>
      <c r="HB3" s="73" t="n"/>
      <c r="HC3" s="73" t="n"/>
      <c r="HD3" s="73" t="n"/>
      <c r="HE3" s="73" t="n"/>
      <c r="HF3" s="73" t="n"/>
      <c r="HG3" s="73" t="n"/>
      <c r="HH3" s="73" t="n"/>
      <c r="HI3" s="73" t="n"/>
      <c r="HJ3" s="73" t="n"/>
      <c r="HK3" s="73" t="n"/>
      <c r="HL3" s="73" t="n"/>
      <c r="HM3" s="73" t="n"/>
      <c r="HN3" s="73" t="n"/>
      <c r="HO3" s="73" t="n"/>
      <c r="HP3" s="73" t="n"/>
      <c r="HQ3" s="73" t="n"/>
      <c r="HR3" s="73" t="n"/>
      <c r="HS3" s="73" t="n"/>
      <c r="HT3" s="73" t="n"/>
      <c r="HU3" s="73" t="n"/>
      <c r="HV3" s="73" t="n"/>
      <c r="HW3" s="73" t="n"/>
      <c r="HX3" s="73" t="n"/>
      <c r="HY3" s="73" t="n"/>
      <c r="HZ3" s="73" t="n"/>
      <c r="IA3" s="73" t="n"/>
      <c r="IB3" s="73" t="n"/>
      <c r="IC3" s="73" t="n"/>
      <c r="ID3" s="73" t="n"/>
      <c r="IE3" s="73" t="n"/>
      <c r="IF3" s="73" t="n"/>
      <c r="IG3" s="73" t="n"/>
      <c r="IH3" s="73" t="n"/>
      <c r="II3" s="73" t="n"/>
      <c r="IJ3" s="73" t="n"/>
      <c r="IK3" s="73" t="n"/>
      <c r="IL3" s="73" t="n"/>
      <c r="IM3" s="73" t="n"/>
      <c r="IN3" s="73" t="n"/>
      <c r="IO3" s="73" t="n"/>
      <c r="IP3" s="73" t="n"/>
      <c r="IQ3" s="73" t="n"/>
      <c r="IR3" s="73" t="n"/>
      <c r="IS3" s="73" t="n"/>
      <c r="IT3" s="73" t="n"/>
      <c r="IU3" s="73" t="n"/>
      <c r="IV3" s="73" t="n"/>
      <c r="IW3" s="73" t="n"/>
    </row>
    <row r="4" ht="31.5" customHeight="1" s="72">
      <c r="A4" s="73" t="n"/>
      <c r="B4" s="78" t="inlineStr">
        <is>
          <t>(수신처) 귀중</t>
        </is>
      </c>
      <c r="H4" s="79" t="n"/>
      <c r="I4" s="80" t="n"/>
      <c r="J4" s="80" t="n"/>
      <c r="K4" s="80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73" t="n"/>
      <c r="Y4" s="73" t="n"/>
      <c r="Z4" s="73" t="n"/>
      <c r="AA4" s="73" t="n"/>
      <c r="AB4" s="73" t="n"/>
      <c r="AC4" s="73" t="n"/>
      <c r="AD4" s="73" t="n"/>
      <c r="AE4" s="73" t="n"/>
      <c r="AF4" s="73" t="n"/>
      <c r="AG4" s="73" t="n"/>
      <c r="AH4" s="73" t="n"/>
      <c r="AI4" s="73" t="n"/>
      <c r="AJ4" s="73" t="n"/>
      <c r="AK4" s="73" t="n"/>
      <c r="AL4" s="73" t="n"/>
      <c r="AM4" s="73" t="n"/>
      <c r="AN4" s="73" t="n"/>
      <c r="AO4" s="73" t="n"/>
      <c r="AP4" s="73" t="n"/>
      <c r="AQ4" s="73" t="n"/>
      <c r="AR4" s="73" t="n"/>
      <c r="AS4" s="73" t="n"/>
      <c r="AT4" s="73" t="n"/>
      <c r="AU4" s="73" t="n"/>
      <c r="AV4" s="73" t="n"/>
      <c r="AW4" s="73" t="n"/>
      <c r="AX4" s="73" t="n"/>
      <c r="AY4" s="73" t="n"/>
      <c r="AZ4" s="73" t="n"/>
      <c r="BA4" s="73" t="n"/>
      <c r="BB4" s="73" t="n"/>
      <c r="BC4" s="73" t="n"/>
      <c r="BD4" s="73" t="n"/>
      <c r="BE4" s="73" t="n"/>
      <c r="BF4" s="73" t="n"/>
      <c r="BG4" s="73" t="n"/>
      <c r="BH4" s="73" t="n"/>
      <c r="BI4" s="73" t="n"/>
      <c r="BJ4" s="73" t="n"/>
      <c r="BK4" s="73" t="n"/>
      <c r="BL4" s="73" t="n"/>
      <c r="BM4" s="73" t="n"/>
      <c r="BN4" s="73" t="n"/>
      <c r="BO4" s="73" t="n"/>
      <c r="BP4" s="73" t="n"/>
      <c r="BQ4" s="73" t="n"/>
      <c r="BR4" s="73" t="n"/>
      <c r="BS4" s="73" t="n"/>
      <c r="BT4" s="73" t="n"/>
      <c r="BU4" s="73" t="n"/>
      <c r="BV4" s="73" t="n"/>
      <c r="BW4" s="73" t="n"/>
      <c r="BX4" s="73" t="n"/>
      <c r="BY4" s="73" t="n"/>
      <c r="BZ4" s="73" t="n"/>
      <c r="CA4" s="73" t="n"/>
      <c r="CB4" s="73" t="n"/>
      <c r="CC4" s="73" t="n"/>
      <c r="CD4" s="73" t="n"/>
      <c r="CE4" s="73" t="n"/>
      <c r="CF4" s="73" t="n"/>
      <c r="CG4" s="73" t="n"/>
      <c r="CH4" s="73" t="n"/>
      <c r="CI4" s="73" t="n"/>
      <c r="CJ4" s="73" t="n"/>
      <c r="CK4" s="73" t="n"/>
      <c r="CL4" s="73" t="n"/>
      <c r="CM4" s="73" t="n"/>
      <c r="CN4" s="73" t="n"/>
      <c r="CO4" s="73" t="n"/>
      <c r="CP4" s="73" t="n"/>
      <c r="CQ4" s="73" t="n"/>
      <c r="CR4" s="73" t="n"/>
      <c r="CS4" s="73" t="n"/>
      <c r="CT4" s="73" t="n"/>
      <c r="CU4" s="73" t="n"/>
      <c r="CV4" s="73" t="n"/>
      <c r="CW4" s="73" t="n"/>
      <c r="CX4" s="73" t="n"/>
      <c r="CY4" s="73" t="n"/>
      <c r="CZ4" s="73" t="n"/>
      <c r="DA4" s="73" t="n"/>
      <c r="DB4" s="73" t="n"/>
      <c r="DC4" s="73" t="n"/>
      <c r="DD4" s="73" t="n"/>
      <c r="DE4" s="73" t="n"/>
      <c r="DF4" s="73" t="n"/>
      <c r="DG4" s="73" t="n"/>
      <c r="DH4" s="73" t="n"/>
      <c r="DI4" s="73" t="n"/>
      <c r="DJ4" s="73" t="n"/>
      <c r="DK4" s="73" t="n"/>
      <c r="DL4" s="73" t="n"/>
      <c r="DM4" s="73" t="n"/>
      <c r="DN4" s="73" t="n"/>
      <c r="DO4" s="73" t="n"/>
      <c r="DP4" s="73" t="n"/>
      <c r="DQ4" s="73" t="n"/>
      <c r="DR4" s="73" t="n"/>
      <c r="DS4" s="73" t="n"/>
      <c r="DT4" s="73" t="n"/>
      <c r="DU4" s="73" t="n"/>
      <c r="DV4" s="73" t="n"/>
      <c r="DW4" s="73" t="n"/>
      <c r="DX4" s="73" t="n"/>
      <c r="DY4" s="73" t="n"/>
      <c r="DZ4" s="73" t="n"/>
      <c r="EA4" s="73" t="n"/>
      <c r="EB4" s="73" t="n"/>
      <c r="EC4" s="73" t="n"/>
      <c r="ED4" s="73" t="n"/>
      <c r="EE4" s="73" t="n"/>
      <c r="EF4" s="73" t="n"/>
      <c r="EG4" s="73" t="n"/>
      <c r="EH4" s="73" t="n"/>
      <c r="EI4" s="73" t="n"/>
      <c r="EJ4" s="73" t="n"/>
      <c r="EK4" s="73" t="n"/>
      <c r="EL4" s="73" t="n"/>
      <c r="EM4" s="73" t="n"/>
      <c r="EN4" s="73" t="n"/>
      <c r="EO4" s="73" t="n"/>
      <c r="EP4" s="73" t="n"/>
      <c r="EQ4" s="73" t="n"/>
      <c r="ER4" s="73" t="n"/>
      <c r="ES4" s="73" t="n"/>
      <c r="ET4" s="73" t="n"/>
      <c r="EU4" s="73" t="n"/>
      <c r="EV4" s="73" t="n"/>
      <c r="EW4" s="73" t="n"/>
      <c r="EX4" s="73" t="n"/>
      <c r="EY4" s="73" t="n"/>
      <c r="EZ4" s="73" t="n"/>
      <c r="FA4" s="73" t="n"/>
      <c r="FB4" s="73" t="n"/>
      <c r="FC4" s="73" t="n"/>
      <c r="FD4" s="73" t="n"/>
      <c r="FE4" s="73" t="n"/>
      <c r="FF4" s="73" t="n"/>
      <c r="FG4" s="73" t="n"/>
      <c r="FH4" s="73" t="n"/>
      <c r="FI4" s="73" t="n"/>
      <c r="FJ4" s="73" t="n"/>
      <c r="FK4" s="73" t="n"/>
      <c r="FL4" s="73" t="n"/>
      <c r="FM4" s="73" t="n"/>
      <c r="FN4" s="73" t="n"/>
      <c r="FO4" s="73" t="n"/>
      <c r="FP4" s="73" t="n"/>
      <c r="FQ4" s="73" t="n"/>
      <c r="FR4" s="73" t="n"/>
      <c r="FS4" s="73" t="n"/>
      <c r="FT4" s="73" t="n"/>
      <c r="FU4" s="73" t="n"/>
      <c r="FV4" s="73" t="n"/>
      <c r="FW4" s="73" t="n"/>
      <c r="FX4" s="73" t="n"/>
      <c r="FY4" s="73" t="n"/>
      <c r="FZ4" s="73" t="n"/>
      <c r="GA4" s="73" t="n"/>
      <c r="GB4" s="73" t="n"/>
      <c r="GC4" s="73" t="n"/>
      <c r="GD4" s="73" t="n"/>
      <c r="GE4" s="73" t="n"/>
      <c r="GF4" s="73" t="n"/>
      <c r="GG4" s="73" t="n"/>
      <c r="GH4" s="73" t="n"/>
      <c r="GI4" s="73" t="n"/>
      <c r="GJ4" s="73" t="n"/>
      <c r="GK4" s="73" t="n"/>
      <c r="GL4" s="73" t="n"/>
      <c r="GM4" s="73" t="n"/>
      <c r="GN4" s="73" t="n"/>
      <c r="GO4" s="73" t="n"/>
      <c r="GP4" s="73" t="n"/>
      <c r="GQ4" s="73" t="n"/>
      <c r="GR4" s="73" t="n"/>
      <c r="GS4" s="73" t="n"/>
      <c r="GT4" s="73" t="n"/>
      <c r="GU4" s="73" t="n"/>
      <c r="GV4" s="73" t="n"/>
      <c r="GW4" s="73" t="n"/>
      <c r="GX4" s="73" t="n"/>
      <c r="GY4" s="73" t="n"/>
      <c r="GZ4" s="73" t="n"/>
      <c r="HA4" s="73" t="n"/>
      <c r="HB4" s="73" t="n"/>
      <c r="HC4" s="73" t="n"/>
      <c r="HD4" s="73" t="n"/>
      <c r="HE4" s="73" t="n"/>
      <c r="HF4" s="73" t="n"/>
      <c r="HG4" s="73" t="n"/>
      <c r="HH4" s="73" t="n"/>
      <c r="HI4" s="73" t="n"/>
      <c r="HJ4" s="73" t="n"/>
      <c r="HK4" s="73" t="n"/>
      <c r="HL4" s="73" t="n"/>
      <c r="HM4" s="73" t="n"/>
      <c r="HN4" s="73" t="n"/>
      <c r="HO4" s="73" t="n"/>
      <c r="HP4" s="73" t="n"/>
      <c r="HQ4" s="73" t="n"/>
      <c r="HR4" s="73" t="n"/>
      <c r="HS4" s="73" t="n"/>
      <c r="HT4" s="73" t="n"/>
      <c r="HU4" s="73" t="n"/>
      <c r="HV4" s="73" t="n"/>
      <c r="HW4" s="73" t="n"/>
      <c r="HX4" s="73" t="n"/>
      <c r="HY4" s="73" t="n"/>
      <c r="HZ4" s="73" t="n"/>
      <c r="IA4" s="73" t="n"/>
      <c r="IB4" s="73" t="n"/>
      <c r="IC4" s="73" t="n"/>
      <c r="ID4" s="73" t="n"/>
      <c r="IE4" s="73" t="n"/>
      <c r="IF4" s="73" t="n"/>
      <c r="IG4" s="73" t="n"/>
      <c r="IH4" s="73" t="n"/>
      <c r="II4" s="73" t="n"/>
      <c r="IJ4" s="73" t="n"/>
      <c r="IK4" s="73" t="n"/>
      <c r="IL4" s="73" t="n"/>
      <c r="IM4" s="73" t="n"/>
      <c r="IN4" s="73" t="n"/>
      <c r="IO4" s="73" t="n"/>
      <c r="IP4" s="73" t="n"/>
      <c r="IQ4" s="73" t="n"/>
      <c r="IR4" s="73" t="n"/>
      <c r="IS4" s="73" t="n"/>
      <c r="IT4" s="73" t="n"/>
      <c r="IU4" s="73" t="n"/>
      <c r="IV4" s="73" t="n"/>
      <c r="IW4" s="73" t="n"/>
    </row>
    <row r="5" ht="13.5" customHeight="1" s="72">
      <c r="A5" s="73" t="n"/>
      <c r="H5" s="81" t="n"/>
      <c r="I5" s="73" t="n"/>
      <c r="J5" s="82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  <c r="AA5" s="73" t="n"/>
      <c r="AB5" s="73" t="n"/>
      <c r="AC5" s="73" t="n"/>
      <c r="AD5" s="73" t="n"/>
      <c r="AE5" s="73" t="n"/>
      <c r="AF5" s="73" t="n"/>
      <c r="AG5" s="73" t="n"/>
      <c r="AH5" s="73" t="n"/>
      <c r="AI5" s="73" t="n"/>
      <c r="AJ5" s="73" t="n"/>
      <c r="AK5" s="73" t="n"/>
      <c r="AL5" s="73" t="n"/>
      <c r="AM5" s="73" t="n"/>
      <c r="AN5" s="73" t="n"/>
      <c r="AO5" s="73" t="n"/>
      <c r="AP5" s="73" t="n"/>
      <c r="AQ5" s="73" t="n"/>
      <c r="AR5" s="73" t="n"/>
      <c r="AS5" s="73" t="n"/>
      <c r="AT5" s="73" t="n"/>
      <c r="AU5" s="73" t="n"/>
      <c r="AV5" s="73" t="n"/>
      <c r="AW5" s="73" t="n"/>
      <c r="AX5" s="73" t="n"/>
      <c r="AY5" s="73" t="n"/>
      <c r="AZ5" s="73" t="n"/>
      <c r="BA5" s="73" t="n"/>
      <c r="BB5" s="73" t="n"/>
      <c r="BC5" s="73" t="n"/>
      <c r="BD5" s="73" t="n"/>
      <c r="BE5" s="73" t="n"/>
      <c r="BF5" s="73" t="n"/>
      <c r="BG5" s="73" t="n"/>
      <c r="BH5" s="73" t="n"/>
      <c r="BI5" s="73" t="n"/>
      <c r="BJ5" s="73" t="n"/>
      <c r="BK5" s="73" t="n"/>
      <c r="BL5" s="73" t="n"/>
      <c r="BM5" s="73" t="n"/>
      <c r="BN5" s="73" t="n"/>
      <c r="BO5" s="73" t="n"/>
      <c r="BP5" s="73" t="n"/>
      <c r="BQ5" s="73" t="n"/>
      <c r="BR5" s="73" t="n"/>
      <c r="BS5" s="73" t="n"/>
      <c r="BT5" s="73" t="n"/>
      <c r="BU5" s="73" t="n"/>
      <c r="BV5" s="73" t="n"/>
      <c r="BW5" s="73" t="n"/>
      <c r="BX5" s="73" t="n"/>
      <c r="BY5" s="73" t="n"/>
      <c r="BZ5" s="73" t="n"/>
      <c r="CA5" s="73" t="n"/>
      <c r="CB5" s="73" t="n"/>
      <c r="CC5" s="73" t="n"/>
      <c r="CD5" s="73" t="n"/>
      <c r="CE5" s="73" t="n"/>
      <c r="CF5" s="73" t="n"/>
      <c r="CG5" s="73" t="n"/>
      <c r="CH5" s="73" t="n"/>
      <c r="CI5" s="73" t="n"/>
      <c r="CJ5" s="73" t="n"/>
      <c r="CK5" s="73" t="n"/>
      <c r="CL5" s="73" t="n"/>
      <c r="CM5" s="73" t="n"/>
      <c r="CN5" s="73" t="n"/>
      <c r="CO5" s="73" t="n"/>
      <c r="CP5" s="73" t="n"/>
      <c r="CQ5" s="73" t="n"/>
      <c r="CR5" s="73" t="n"/>
      <c r="CS5" s="73" t="n"/>
      <c r="CT5" s="73" t="n"/>
      <c r="CU5" s="73" t="n"/>
      <c r="CV5" s="73" t="n"/>
      <c r="CW5" s="73" t="n"/>
      <c r="CX5" s="73" t="n"/>
      <c r="CY5" s="73" t="n"/>
      <c r="CZ5" s="73" t="n"/>
      <c r="DA5" s="73" t="n"/>
      <c r="DB5" s="73" t="n"/>
      <c r="DC5" s="73" t="n"/>
      <c r="DD5" s="73" t="n"/>
      <c r="DE5" s="73" t="n"/>
      <c r="DF5" s="73" t="n"/>
      <c r="DG5" s="73" t="n"/>
      <c r="DH5" s="73" t="n"/>
      <c r="DI5" s="73" t="n"/>
      <c r="DJ5" s="73" t="n"/>
      <c r="DK5" s="73" t="n"/>
      <c r="DL5" s="73" t="n"/>
      <c r="DM5" s="73" t="n"/>
      <c r="DN5" s="73" t="n"/>
      <c r="DO5" s="73" t="n"/>
      <c r="DP5" s="73" t="n"/>
      <c r="DQ5" s="73" t="n"/>
      <c r="DR5" s="73" t="n"/>
      <c r="DS5" s="73" t="n"/>
      <c r="DT5" s="73" t="n"/>
      <c r="DU5" s="73" t="n"/>
      <c r="DV5" s="73" t="n"/>
      <c r="DW5" s="73" t="n"/>
      <c r="DX5" s="73" t="n"/>
      <c r="DY5" s="73" t="n"/>
      <c r="DZ5" s="73" t="n"/>
      <c r="EA5" s="73" t="n"/>
      <c r="EB5" s="73" t="n"/>
      <c r="EC5" s="73" t="n"/>
      <c r="ED5" s="73" t="n"/>
      <c r="EE5" s="73" t="n"/>
      <c r="EF5" s="73" t="n"/>
      <c r="EG5" s="73" t="n"/>
      <c r="EH5" s="73" t="n"/>
      <c r="EI5" s="73" t="n"/>
      <c r="EJ5" s="73" t="n"/>
      <c r="EK5" s="73" t="n"/>
      <c r="EL5" s="73" t="n"/>
      <c r="EM5" s="73" t="n"/>
      <c r="EN5" s="73" t="n"/>
      <c r="EO5" s="73" t="n"/>
      <c r="EP5" s="73" t="n"/>
      <c r="EQ5" s="73" t="n"/>
      <c r="ER5" s="73" t="n"/>
      <c r="ES5" s="73" t="n"/>
      <c r="ET5" s="73" t="n"/>
      <c r="EU5" s="73" t="n"/>
      <c r="EV5" s="73" t="n"/>
      <c r="EW5" s="73" t="n"/>
      <c r="EX5" s="73" t="n"/>
      <c r="EY5" s="73" t="n"/>
      <c r="EZ5" s="73" t="n"/>
      <c r="FA5" s="73" t="n"/>
      <c r="FB5" s="73" t="n"/>
      <c r="FC5" s="73" t="n"/>
      <c r="FD5" s="73" t="n"/>
      <c r="FE5" s="73" t="n"/>
      <c r="FF5" s="73" t="n"/>
      <c r="FG5" s="73" t="n"/>
      <c r="FH5" s="73" t="n"/>
      <c r="FI5" s="73" t="n"/>
      <c r="FJ5" s="73" t="n"/>
      <c r="FK5" s="73" t="n"/>
      <c r="FL5" s="73" t="n"/>
      <c r="FM5" s="73" t="n"/>
      <c r="FN5" s="73" t="n"/>
      <c r="FO5" s="73" t="n"/>
      <c r="FP5" s="73" t="n"/>
      <c r="FQ5" s="73" t="n"/>
      <c r="FR5" s="73" t="n"/>
      <c r="FS5" s="73" t="n"/>
      <c r="FT5" s="73" t="n"/>
      <c r="FU5" s="73" t="n"/>
      <c r="FV5" s="73" t="n"/>
      <c r="FW5" s="73" t="n"/>
      <c r="FX5" s="73" t="n"/>
      <c r="FY5" s="73" t="n"/>
      <c r="FZ5" s="73" t="n"/>
      <c r="GA5" s="73" t="n"/>
      <c r="GB5" s="73" t="n"/>
      <c r="GC5" s="73" t="n"/>
      <c r="GD5" s="73" t="n"/>
      <c r="GE5" s="73" t="n"/>
      <c r="GF5" s="73" t="n"/>
      <c r="GG5" s="73" t="n"/>
      <c r="GH5" s="73" t="n"/>
      <c r="GI5" s="73" t="n"/>
      <c r="GJ5" s="73" t="n"/>
      <c r="GK5" s="73" t="n"/>
      <c r="GL5" s="73" t="n"/>
      <c r="GM5" s="73" t="n"/>
      <c r="GN5" s="73" t="n"/>
      <c r="GO5" s="73" t="n"/>
      <c r="GP5" s="73" t="n"/>
      <c r="GQ5" s="73" t="n"/>
      <c r="GR5" s="73" t="n"/>
      <c r="GS5" s="73" t="n"/>
      <c r="GT5" s="73" t="n"/>
      <c r="GU5" s="73" t="n"/>
      <c r="GV5" s="73" t="n"/>
      <c r="GW5" s="73" t="n"/>
      <c r="GX5" s="73" t="n"/>
      <c r="GY5" s="73" t="n"/>
      <c r="GZ5" s="73" t="n"/>
      <c r="HA5" s="73" t="n"/>
      <c r="HB5" s="73" t="n"/>
      <c r="HC5" s="73" t="n"/>
      <c r="HD5" s="73" t="n"/>
      <c r="HE5" s="73" t="n"/>
      <c r="HF5" s="73" t="n"/>
      <c r="HG5" s="73" t="n"/>
      <c r="HH5" s="73" t="n"/>
      <c r="HI5" s="73" t="n"/>
      <c r="HJ5" s="73" t="n"/>
      <c r="HK5" s="73" t="n"/>
      <c r="HL5" s="73" t="n"/>
      <c r="HM5" s="73" t="n"/>
      <c r="HN5" s="73" t="n"/>
      <c r="HO5" s="73" t="n"/>
      <c r="HP5" s="73" t="n"/>
      <c r="HQ5" s="73" t="n"/>
      <c r="HR5" s="73" t="n"/>
      <c r="HS5" s="73" t="n"/>
      <c r="HT5" s="73" t="n"/>
      <c r="HU5" s="73" t="n"/>
      <c r="HV5" s="73" t="n"/>
      <c r="HW5" s="73" t="n"/>
      <c r="HX5" s="73" t="n"/>
      <c r="HY5" s="73" t="n"/>
      <c r="HZ5" s="73" t="n"/>
      <c r="IA5" s="73" t="n"/>
      <c r="IB5" s="73" t="n"/>
      <c r="IC5" s="73" t="n"/>
      <c r="ID5" s="73" t="n"/>
      <c r="IE5" s="73" t="n"/>
      <c r="IF5" s="73" t="n"/>
      <c r="IG5" s="73" t="n"/>
      <c r="IH5" s="73" t="n"/>
      <c r="II5" s="73" t="n"/>
      <c r="IJ5" s="73" t="n"/>
      <c r="IK5" s="73" t="n"/>
      <c r="IL5" s="73" t="n"/>
      <c r="IM5" s="73" t="n"/>
      <c r="IN5" s="73" t="n"/>
      <c r="IO5" s="73" t="n"/>
      <c r="IP5" s="73" t="n"/>
      <c r="IQ5" s="73" t="n"/>
      <c r="IR5" s="73" t="n"/>
      <c r="IS5" s="73" t="n"/>
      <c r="IT5" s="73" t="n"/>
      <c r="IU5" s="73" t="n"/>
      <c r="IV5" s="73" t="n"/>
      <c r="IW5" s="73" t="n"/>
    </row>
    <row r="6" ht="23.25" customHeight="1" s="72">
      <c r="A6" s="83" t="n"/>
      <c r="B6" s="84" t="inlineStr">
        <is>
          <t>견  적   명 : (과업명)</t>
        </is>
      </c>
      <c r="C6" s="83" t="n"/>
      <c r="D6" s="83" t="n"/>
      <c r="E6" s="83" t="n"/>
      <c r="F6" s="85" t="n"/>
      <c r="G6" s="83" t="n"/>
      <c r="H6" s="85" t="n"/>
      <c r="I6" s="86" t="inlineStr">
        <is>
          <t>주식회사 씨커스(Seekers Inc.)</t>
        </is>
      </c>
      <c r="J6" s="83" t="n"/>
      <c r="K6" s="83" t="n"/>
      <c r="L6" s="73" t="n"/>
      <c r="M6" s="73" t="n"/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73" t="n"/>
      <c r="Y6" s="73" t="n"/>
      <c r="Z6" s="73" t="n"/>
      <c r="AA6" s="73" t="n"/>
      <c r="AB6" s="73" t="n"/>
      <c r="AC6" s="73" t="n"/>
      <c r="AD6" s="73" t="n"/>
      <c r="AE6" s="73" t="n"/>
      <c r="AF6" s="73" t="n"/>
      <c r="AG6" s="73" t="n"/>
      <c r="AH6" s="73" t="n"/>
      <c r="AI6" s="73" t="n"/>
      <c r="AJ6" s="73" t="n"/>
      <c r="AK6" s="73" t="n"/>
      <c r="AL6" s="73" t="n"/>
      <c r="AM6" s="73" t="n"/>
      <c r="AN6" s="73" t="n"/>
      <c r="AO6" s="73" t="n"/>
      <c r="AP6" s="73" t="n"/>
      <c r="AQ6" s="73" t="n"/>
      <c r="AR6" s="73" t="n"/>
      <c r="AS6" s="73" t="n"/>
      <c r="AT6" s="73" t="n"/>
      <c r="AU6" s="73" t="n"/>
      <c r="AV6" s="73" t="n"/>
      <c r="AW6" s="73" t="n"/>
      <c r="AX6" s="73" t="n"/>
      <c r="AY6" s="73" t="n"/>
      <c r="AZ6" s="73" t="n"/>
      <c r="BA6" s="73" t="n"/>
      <c r="BB6" s="73" t="n"/>
      <c r="BC6" s="73" t="n"/>
      <c r="BD6" s="73" t="n"/>
      <c r="BE6" s="73" t="n"/>
      <c r="BF6" s="73" t="n"/>
      <c r="BG6" s="73" t="n"/>
      <c r="BH6" s="73" t="n"/>
      <c r="BI6" s="73" t="n"/>
      <c r="BJ6" s="73" t="n"/>
      <c r="BK6" s="73" t="n"/>
      <c r="BL6" s="73" t="n"/>
      <c r="BM6" s="73" t="n"/>
      <c r="BN6" s="73" t="n"/>
      <c r="BO6" s="73" t="n"/>
      <c r="BP6" s="73" t="n"/>
      <c r="BQ6" s="73" t="n"/>
      <c r="BR6" s="73" t="n"/>
      <c r="BS6" s="73" t="n"/>
      <c r="BT6" s="73" t="n"/>
      <c r="BU6" s="73" t="n"/>
      <c r="BV6" s="73" t="n"/>
      <c r="BW6" s="73" t="n"/>
      <c r="BX6" s="73" t="n"/>
      <c r="BY6" s="73" t="n"/>
      <c r="BZ6" s="73" t="n"/>
      <c r="CA6" s="73" t="n"/>
      <c r="CB6" s="73" t="n"/>
      <c r="CC6" s="73" t="n"/>
      <c r="CD6" s="73" t="n"/>
      <c r="CE6" s="73" t="n"/>
      <c r="CF6" s="73" t="n"/>
      <c r="CG6" s="73" t="n"/>
      <c r="CH6" s="73" t="n"/>
      <c r="CI6" s="73" t="n"/>
      <c r="CJ6" s="73" t="n"/>
      <c r="CK6" s="73" t="n"/>
      <c r="CL6" s="73" t="n"/>
      <c r="CM6" s="73" t="n"/>
      <c r="CN6" s="73" t="n"/>
      <c r="CO6" s="73" t="n"/>
      <c r="CP6" s="73" t="n"/>
      <c r="CQ6" s="73" t="n"/>
      <c r="CR6" s="73" t="n"/>
      <c r="CS6" s="73" t="n"/>
      <c r="CT6" s="73" t="n"/>
      <c r="CU6" s="73" t="n"/>
      <c r="CV6" s="73" t="n"/>
      <c r="CW6" s="73" t="n"/>
      <c r="CX6" s="73" t="n"/>
      <c r="CY6" s="73" t="n"/>
      <c r="CZ6" s="73" t="n"/>
      <c r="DA6" s="73" t="n"/>
      <c r="DB6" s="73" t="n"/>
      <c r="DC6" s="73" t="n"/>
      <c r="DD6" s="73" t="n"/>
      <c r="DE6" s="73" t="n"/>
      <c r="DF6" s="73" t="n"/>
      <c r="DG6" s="73" t="n"/>
      <c r="DH6" s="73" t="n"/>
      <c r="DI6" s="73" t="n"/>
      <c r="DJ6" s="73" t="n"/>
      <c r="DK6" s="73" t="n"/>
      <c r="DL6" s="73" t="n"/>
      <c r="DM6" s="73" t="n"/>
      <c r="DN6" s="73" t="n"/>
      <c r="DO6" s="73" t="n"/>
      <c r="DP6" s="73" t="n"/>
      <c r="DQ6" s="73" t="n"/>
      <c r="DR6" s="73" t="n"/>
      <c r="DS6" s="73" t="n"/>
      <c r="DT6" s="73" t="n"/>
      <c r="DU6" s="73" t="n"/>
      <c r="DV6" s="73" t="n"/>
      <c r="DW6" s="73" t="n"/>
      <c r="DX6" s="73" t="n"/>
      <c r="DY6" s="73" t="n"/>
      <c r="DZ6" s="73" t="n"/>
      <c r="EA6" s="73" t="n"/>
      <c r="EB6" s="73" t="n"/>
      <c r="EC6" s="73" t="n"/>
      <c r="ED6" s="73" t="n"/>
      <c r="EE6" s="73" t="n"/>
      <c r="EF6" s="73" t="n"/>
      <c r="EG6" s="73" t="n"/>
      <c r="EH6" s="73" t="n"/>
      <c r="EI6" s="73" t="n"/>
      <c r="EJ6" s="73" t="n"/>
      <c r="EK6" s="73" t="n"/>
      <c r="EL6" s="73" t="n"/>
      <c r="EM6" s="73" t="n"/>
      <c r="EN6" s="73" t="n"/>
      <c r="EO6" s="73" t="n"/>
      <c r="EP6" s="73" t="n"/>
      <c r="EQ6" s="73" t="n"/>
      <c r="ER6" s="73" t="n"/>
      <c r="ES6" s="73" t="n"/>
      <c r="ET6" s="73" t="n"/>
      <c r="EU6" s="73" t="n"/>
      <c r="EV6" s="73" t="n"/>
      <c r="EW6" s="73" t="n"/>
      <c r="EX6" s="73" t="n"/>
      <c r="EY6" s="73" t="n"/>
      <c r="EZ6" s="73" t="n"/>
      <c r="FA6" s="73" t="n"/>
      <c r="FB6" s="73" t="n"/>
      <c r="FC6" s="73" t="n"/>
      <c r="FD6" s="73" t="n"/>
      <c r="FE6" s="73" t="n"/>
      <c r="FF6" s="73" t="n"/>
      <c r="FG6" s="73" t="n"/>
      <c r="FH6" s="73" t="n"/>
      <c r="FI6" s="73" t="n"/>
      <c r="FJ6" s="73" t="n"/>
      <c r="FK6" s="73" t="n"/>
      <c r="FL6" s="73" t="n"/>
      <c r="FM6" s="73" t="n"/>
      <c r="FN6" s="73" t="n"/>
      <c r="FO6" s="73" t="n"/>
      <c r="FP6" s="73" t="n"/>
      <c r="FQ6" s="73" t="n"/>
      <c r="FR6" s="73" t="n"/>
      <c r="FS6" s="73" t="n"/>
      <c r="FT6" s="73" t="n"/>
      <c r="FU6" s="73" t="n"/>
      <c r="FV6" s="73" t="n"/>
      <c r="FW6" s="73" t="n"/>
      <c r="FX6" s="73" t="n"/>
      <c r="FY6" s="73" t="n"/>
      <c r="FZ6" s="73" t="n"/>
      <c r="GA6" s="73" t="n"/>
      <c r="GB6" s="73" t="n"/>
      <c r="GC6" s="73" t="n"/>
      <c r="GD6" s="73" t="n"/>
      <c r="GE6" s="73" t="n"/>
      <c r="GF6" s="73" t="n"/>
      <c r="GG6" s="73" t="n"/>
      <c r="GH6" s="73" t="n"/>
      <c r="GI6" s="73" t="n"/>
      <c r="GJ6" s="73" t="n"/>
      <c r="GK6" s="73" t="n"/>
      <c r="GL6" s="73" t="n"/>
      <c r="GM6" s="73" t="n"/>
      <c r="GN6" s="73" t="n"/>
      <c r="GO6" s="73" t="n"/>
      <c r="GP6" s="73" t="n"/>
      <c r="GQ6" s="73" t="n"/>
      <c r="GR6" s="73" t="n"/>
      <c r="GS6" s="73" t="n"/>
      <c r="GT6" s="73" t="n"/>
      <c r="GU6" s="73" t="n"/>
      <c r="GV6" s="73" t="n"/>
      <c r="GW6" s="73" t="n"/>
      <c r="GX6" s="73" t="n"/>
      <c r="GY6" s="73" t="n"/>
      <c r="GZ6" s="73" t="n"/>
      <c r="HA6" s="73" t="n"/>
      <c r="HB6" s="73" t="n"/>
      <c r="HC6" s="73" t="n"/>
      <c r="HD6" s="73" t="n"/>
      <c r="HE6" s="73" t="n"/>
      <c r="HF6" s="73" t="n"/>
      <c r="HG6" s="73" t="n"/>
      <c r="HH6" s="73" t="n"/>
      <c r="HI6" s="73" t="n"/>
      <c r="HJ6" s="73" t="n"/>
      <c r="HK6" s="73" t="n"/>
      <c r="HL6" s="73" t="n"/>
      <c r="HM6" s="73" t="n"/>
      <c r="HN6" s="73" t="n"/>
      <c r="HO6" s="73" t="n"/>
      <c r="HP6" s="73" t="n"/>
      <c r="HQ6" s="73" t="n"/>
      <c r="HR6" s="73" t="n"/>
      <c r="HS6" s="73" t="n"/>
      <c r="HT6" s="73" t="n"/>
      <c r="HU6" s="73" t="n"/>
      <c r="HV6" s="73" t="n"/>
      <c r="HW6" s="73" t="n"/>
      <c r="HX6" s="73" t="n"/>
      <c r="HY6" s="73" t="n"/>
      <c r="HZ6" s="73" t="n"/>
      <c r="IA6" s="73" t="n"/>
      <c r="IB6" s="73" t="n"/>
      <c r="IC6" s="73" t="n"/>
      <c r="ID6" s="73" t="n"/>
      <c r="IE6" s="73" t="n"/>
      <c r="IF6" s="73" t="n"/>
      <c r="IG6" s="73" t="n"/>
      <c r="IH6" s="73" t="n"/>
      <c r="II6" s="73" t="n"/>
      <c r="IJ6" s="73" t="n"/>
      <c r="IK6" s="73" t="n"/>
      <c r="IL6" s="73" t="n"/>
      <c r="IM6" s="73" t="n"/>
      <c r="IN6" s="73" t="n"/>
      <c r="IO6" s="73" t="n"/>
      <c r="IP6" s="73" t="n"/>
      <c r="IQ6" s="73" t="n"/>
      <c r="IR6" s="73" t="n"/>
      <c r="IS6" s="73" t="n"/>
      <c r="IT6" s="73" t="n"/>
      <c r="IU6" s="73" t="n"/>
      <c r="IV6" s="73" t="n"/>
      <c r="IW6" s="73" t="n"/>
    </row>
    <row r="7" ht="14.25" customHeight="1" s="72">
      <c r="A7" s="83" t="n"/>
      <c r="B7" s="83" t="inlineStr">
        <is>
          <t xml:space="preserve">참       조 : </t>
        </is>
      </c>
      <c r="C7" s="83" t="n"/>
      <c r="D7" s="83" t="n"/>
      <c r="E7" s="83" t="n"/>
      <c r="F7" s="83" t="n"/>
      <c r="G7" s="83" t="n"/>
      <c r="H7" s="83" t="n"/>
      <c r="I7" s="83" t="inlineStr">
        <is>
          <t>대 표 이 사 : 최  경  호 (직인생략)</t>
        </is>
      </c>
      <c r="J7" s="83" t="n"/>
      <c r="K7" s="83" t="n"/>
      <c r="L7" s="73" t="n"/>
      <c r="M7" s="73" t="n"/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73" t="n"/>
      <c r="Y7" s="73" t="n"/>
      <c r="Z7" s="73" t="n"/>
      <c r="AA7" s="73" t="n"/>
      <c r="AB7" s="73" t="n"/>
      <c r="AC7" s="73" t="n"/>
      <c r="AD7" s="73" t="n"/>
      <c r="AE7" s="73" t="n"/>
      <c r="AF7" s="73" t="n"/>
      <c r="AG7" s="73" t="n"/>
      <c r="AH7" s="73" t="n"/>
      <c r="AI7" s="73" t="n"/>
      <c r="AJ7" s="73" t="n"/>
      <c r="AK7" s="73" t="n"/>
      <c r="AL7" s="73" t="n"/>
      <c r="AM7" s="73" t="n"/>
      <c r="AN7" s="73" t="n"/>
      <c r="AO7" s="73" t="n"/>
      <c r="AP7" s="73" t="n"/>
      <c r="AQ7" s="73" t="n"/>
      <c r="AR7" s="73" t="n"/>
      <c r="AS7" s="73" t="n"/>
      <c r="AT7" s="73" t="n"/>
      <c r="AU7" s="73" t="n"/>
      <c r="AV7" s="73" t="n"/>
      <c r="AW7" s="73" t="n"/>
      <c r="AX7" s="73" t="n"/>
      <c r="AY7" s="73" t="n"/>
      <c r="AZ7" s="73" t="n"/>
      <c r="BA7" s="73" t="n"/>
      <c r="BB7" s="73" t="n"/>
      <c r="BC7" s="73" t="n"/>
      <c r="BD7" s="73" t="n"/>
      <c r="BE7" s="73" t="n"/>
      <c r="BF7" s="73" t="n"/>
      <c r="BG7" s="73" t="n"/>
      <c r="BH7" s="73" t="n"/>
      <c r="BI7" s="73" t="n"/>
      <c r="BJ7" s="73" t="n"/>
      <c r="BK7" s="73" t="n"/>
      <c r="BL7" s="73" t="n"/>
      <c r="BM7" s="73" t="n"/>
      <c r="BN7" s="73" t="n"/>
      <c r="BO7" s="73" t="n"/>
      <c r="BP7" s="73" t="n"/>
      <c r="BQ7" s="73" t="n"/>
      <c r="BR7" s="73" t="n"/>
      <c r="BS7" s="73" t="n"/>
      <c r="BT7" s="73" t="n"/>
      <c r="BU7" s="73" t="n"/>
      <c r="BV7" s="73" t="n"/>
      <c r="BW7" s="73" t="n"/>
      <c r="BX7" s="73" t="n"/>
      <c r="BY7" s="73" t="n"/>
      <c r="BZ7" s="73" t="n"/>
      <c r="CA7" s="73" t="n"/>
      <c r="CB7" s="73" t="n"/>
      <c r="CC7" s="73" t="n"/>
      <c r="CD7" s="73" t="n"/>
      <c r="CE7" s="73" t="n"/>
      <c r="CF7" s="73" t="n"/>
      <c r="CG7" s="73" t="n"/>
      <c r="CH7" s="73" t="n"/>
      <c r="CI7" s="73" t="n"/>
      <c r="CJ7" s="73" t="n"/>
      <c r="CK7" s="73" t="n"/>
      <c r="CL7" s="73" t="n"/>
      <c r="CM7" s="73" t="n"/>
      <c r="CN7" s="73" t="n"/>
      <c r="CO7" s="73" t="n"/>
      <c r="CP7" s="73" t="n"/>
      <c r="CQ7" s="73" t="n"/>
      <c r="CR7" s="73" t="n"/>
      <c r="CS7" s="73" t="n"/>
      <c r="CT7" s="73" t="n"/>
      <c r="CU7" s="73" t="n"/>
      <c r="CV7" s="73" t="n"/>
      <c r="CW7" s="73" t="n"/>
      <c r="CX7" s="73" t="n"/>
      <c r="CY7" s="73" t="n"/>
      <c r="CZ7" s="73" t="n"/>
      <c r="DA7" s="73" t="n"/>
      <c r="DB7" s="73" t="n"/>
      <c r="DC7" s="73" t="n"/>
      <c r="DD7" s="73" t="n"/>
      <c r="DE7" s="73" t="n"/>
      <c r="DF7" s="73" t="n"/>
      <c r="DG7" s="73" t="n"/>
      <c r="DH7" s="73" t="n"/>
      <c r="DI7" s="73" t="n"/>
      <c r="DJ7" s="73" t="n"/>
      <c r="DK7" s="73" t="n"/>
      <c r="DL7" s="73" t="n"/>
      <c r="DM7" s="73" t="n"/>
      <c r="DN7" s="73" t="n"/>
      <c r="DO7" s="73" t="n"/>
      <c r="DP7" s="73" t="n"/>
      <c r="DQ7" s="73" t="n"/>
      <c r="DR7" s="73" t="n"/>
      <c r="DS7" s="73" t="n"/>
      <c r="DT7" s="73" t="n"/>
      <c r="DU7" s="73" t="n"/>
      <c r="DV7" s="73" t="n"/>
      <c r="DW7" s="73" t="n"/>
      <c r="DX7" s="73" t="n"/>
      <c r="DY7" s="73" t="n"/>
      <c r="DZ7" s="73" t="n"/>
      <c r="EA7" s="73" t="n"/>
      <c r="EB7" s="73" t="n"/>
      <c r="EC7" s="73" t="n"/>
      <c r="ED7" s="73" t="n"/>
      <c r="EE7" s="73" t="n"/>
      <c r="EF7" s="73" t="n"/>
      <c r="EG7" s="73" t="n"/>
      <c r="EH7" s="73" t="n"/>
      <c r="EI7" s="73" t="n"/>
      <c r="EJ7" s="73" t="n"/>
      <c r="EK7" s="73" t="n"/>
      <c r="EL7" s="73" t="n"/>
      <c r="EM7" s="73" t="n"/>
      <c r="EN7" s="73" t="n"/>
      <c r="EO7" s="73" t="n"/>
      <c r="EP7" s="73" t="n"/>
      <c r="EQ7" s="73" t="n"/>
      <c r="ER7" s="73" t="n"/>
      <c r="ES7" s="73" t="n"/>
      <c r="ET7" s="73" t="n"/>
      <c r="EU7" s="73" t="n"/>
      <c r="EV7" s="73" t="n"/>
      <c r="EW7" s="73" t="n"/>
      <c r="EX7" s="73" t="n"/>
      <c r="EY7" s="73" t="n"/>
      <c r="EZ7" s="73" t="n"/>
      <c r="FA7" s="73" t="n"/>
      <c r="FB7" s="73" t="n"/>
      <c r="FC7" s="73" t="n"/>
      <c r="FD7" s="73" t="n"/>
      <c r="FE7" s="73" t="n"/>
      <c r="FF7" s="73" t="n"/>
      <c r="FG7" s="73" t="n"/>
      <c r="FH7" s="73" t="n"/>
      <c r="FI7" s="73" t="n"/>
      <c r="FJ7" s="73" t="n"/>
      <c r="FK7" s="73" t="n"/>
      <c r="FL7" s="73" t="n"/>
      <c r="FM7" s="73" t="n"/>
      <c r="FN7" s="73" t="n"/>
      <c r="FO7" s="73" t="n"/>
      <c r="FP7" s="73" t="n"/>
      <c r="FQ7" s="73" t="n"/>
      <c r="FR7" s="73" t="n"/>
      <c r="FS7" s="73" t="n"/>
      <c r="FT7" s="73" t="n"/>
      <c r="FU7" s="73" t="n"/>
      <c r="FV7" s="73" t="n"/>
      <c r="FW7" s="73" t="n"/>
      <c r="FX7" s="73" t="n"/>
      <c r="FY7" s="73" t="n"/>
      <c r="FZ7" s="73" t="n"/>
      <c r="GA7" s="73" t="n"/>
      <c r="GB7" s="73" t="n"/>
      <c r="GC7" s="73" t="n"/>
      <c r="GD7" s="73" t="n"/>
      <c r="GE7" s="73" t="n"/>
      <c r="GF7" s="73" t="n"/>
      <c r="GG7" s="73" t="n"/>
      <c r="GH7" s="73" t="n"/>
      <c r="GI7" s="73" t="n"/>
      <c r="GJ7" s="73" t="n"/>
      <c r="GK7" s="73" t="n"/>
      <c r="GL7" s="73" t="n"/>
      <c r="GM7" s="73" t="n"/>
      <c r="GN7" s="73" t="n"/>
      <c r="GO7" s="73" t="n"/>
      <c r="GP7" s="73" t="n"/>
      <c r="GQ7" s="73" t="n"/>
      <c r="GR7" s="73" t="n"/>
      <c r="GS7" s="73" t="n"/>
      <c r="GT7" s="73" t="n"/>
      <c r="GU7" s="73" t="n"/>
      <c r="GV7" s="73" t="n"/>
      <c r="GW7" s="73" t="n"/>
      <c r="GX7" s="73" t="n"/>
      <c r="GY7" s="73" t="n"/>
      <c r="GZ7" s="73" t="n"/>
      <c r="HA7" s="73" t="n"/>
      <c r="HB7" s="73" t="n"/>
      <c r="HC7" s="73" t="n"/>
      <c r="HD7" s="73" t="n"/>
      <c r="HE7" s="73" t="n"/>
      <c r="HF7" s="73" t="n"/>
      <c r="HG7" s="73" t="n"/>
      <c r="HH7" s="73" t="n"/>
      <c r="HI7" s="73" t="n"/>
      <c r="HJ7" s="73" t="n"/>
      <c r="HK7" s="73" t="n"/>
      <c r="HL7" s="73" t="n"/>
      <c r="HM7" s="73" t="n"/>
      <c r="HN7" s="73" t="n"/>
      <c r="HO7" s="73" t="n"/>
      <c r="HP7" s="73" t="n"/>
      <c r="HQ7" s="73" t="n"/>
      <c r="HR7" s="73" t="n"/>
      <c r="HS7" s="73" t="n"/>
      <c r="HT7" s="73" t="n"/>
      <c r="HU7" s="73" t="n"/>
      <c r="HV7" s="73" t="n"/>
      <c r="HW7" s="73" t="n"/>
      <c r="HX7" s="73" t="n"/>
      <c r="HY7" s="73" t="n"/>
      <c r="HZ7" s="73" t="n"/>
      <c r="IA7" s="73" t="n"/>
      <c r="IB7" s="73" t="n"/>
      <c r="IC7" s="73" t="n"/>
      <c r="ID7" s="73" t="n"/>
      <c r="IE7" s="73" t="n"/>
      <c r="IF7" s="73" t="n"/>
      <c r="IG7" s="73" t="n"/>
      <c r="IH7" s="73" t="n"/>
      <c r="II7" s="73" t="n"/>
      <c r="IJ7" s="73" t="n"/>
      <c r="IK7" s="73" t="n"/>
      <c r="IL7" s="73" t="n"/>
      <c r="IM7" s="73" t="n"/>
      <c r="IN7" s="73" t="n"/>
      <c r="IO7" s="73" t="n"/>
      <c r="IP7" s="73" t="n"/>
      <c r="IQ7" s="73" t="n"/>
      <c r="IR7" s="73" t="n"/>
      <c r="IS7" s="73" t="n"/>
      <c r="IT7" s="73" t="n"/>
      <c r="IU7" s="73" t="n"/>
      <c r="IV7" s="73" t="n"/>
      <c r="IW7" s="73" t="n"/>
    </row>
    <row r="8" ht="14.25" customHeight="1" s="72">
      <c r="A8" s="83" t="n"/>
      <c r="B8" s="83" t="inlineStr">
        <is>
          <t>견 적 일 자 : 20    년    월    일</t>
        </is>
      </c>
      <c r="C8" s="83" t="n"/>
      <c r="D8" s="83" t="n"/>
      <c r="E8" s="83" t="n"/>
      <c r="F8" s="85" t="n"/>
      <c r="G8" s="87" t="n"/>
      <c r="H8" s="85" t="n"/>
      <c r="I8" s="83" t="inlineStr">
        <is>
          <t>전       화 : 02) 2039-8160</t>
        </is>
      </c>
      <c r="J8" s="83" t="n"/>
      <c r="K8" s="83" t="n"/>
      <c r="L8" s="73" t="n"/>
      <c r="M8" s="73" t="n"/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73" t="n"/>
      <c r="Y8" s="73" t="n"/>
      <c r="Z8" s="73" t="n"/>
      <c r="AA8" s="73" t="n"/>
      <c r="AB8" s="73" t="n"/>
      <c r="AC8" s="73" t="n"/>
      <c r="AD8" s="73" t="n"/>
      <c r="AE8" s="73" t="n"/>
      <c r="AF8" s="73" t="n"/>
      <c r="AG8" s="73" t="n"/>
      <c r="AH8" s="73" t="n"/>
      <c r="AI8" s="73" t="n"/>
      <c r="AJ8" s="73" t="n"/>
      <c r="AK8" s="73" t="n"/>
      <c r="AL8" s="73" t="n"/>
      <c r="AM8" s="73" t="n"/>
      <c r="AN8" s="73" t="n"/>
      <c r="AO8" s="73" t="n"/>
      <c r="AP8" s="73" t="n"/>
      <c r="AQ8" s="73" t="n"/>
      <c r="AR8" s="73" t="n"/>
      <c r="AS8" s="73" t="n"/>
      <c r="AT8" s="73" t="n"/>
      <c r="AU8" s="73" t="n"/>
      <c r="AV8" s="73" t="n"/>
      <c r="AW8" s="73" t="n"/>
      <c r="AX8" s="73" t="n"/>
      <c r="AY8" s="73" t="n"/>
      <c r="AZ8" s="73" t="n"/>
      <c r="BA8" s="73" t="n"/>
      <c r="BB8" s="73" t="n"/>
      <c r="BC8" s="73" t="n"/>
      <c r="BD8" s="73" t="n"/>
      <c r="BE8" s="73" t="n"/>
      <c r="BF8" s="73" t="n"/>
      <c r="BG8" s="73" t="n"/>
      <c r="BH8" s="73" t="n"/>
      <c r="BI8" s="73" t="n"/>
      <c r="BJ8" s="73" t="n"/>
      <c r="BK8" s="73" t="n"/>
      <c r="BL8" s="73" t="n"/>
      <c r="BM8" s="73" t="n"/>
      <c r="BN8" s="73" t="n"/>
      <c r="BO8" s="73" t="n"/>
      <c r="BP8" s="73" t="n"/>
      <c r="BQ8" s="73" t="n"/>
      <c r="BR8" s="73" t="n"/>
      <c r="BS8" s="73" t="n"/>
      <c r="BT8" s="73" t="n"/>
      <c r="BU8" s="73" t="n"/>
      <c r="BV8" s="73" t="n"/>
      <c r="BW8" s="73" t="n"/>
      <c r="BX8" s="73" t="n"/>
      <c r="BY8" s="73" t="n"/>
      <c r="BZ8" s="73" t="n"/>
      <c r="CA8" s="73" t="n"/>
      <c r="CB8" s="73" t="n"/>
      <c r="CC8" s="73" t="n"/>
      <c r="CD8" s="73" t="n"/>
      <c r="CE8" s="73" t="n"/>
      <c r="CF8" s="73" t="n"/>
      <c r="CG8" s="73" t="n"/>
      <c r="CH8" s="73" t="n"/>
      <c r="CI8" s="73" t="n"/>
      <c r="CJ8" s="73" t="n"/>
      <c r="CK8" s="73" t="n"/>
      <c r="CL8" s="73" t="n"/>
      <c r="CM8" s="73" t="n"/>
      <c r="CN8" s="73" t="n"/>
      <c r="CO8" s="73" t="n"/>
      <c r="CP8" s="73" t="n"/>
      <c r="CQ8" s="73" t="n"/>
      <c r="CR8" s="73" t="n"/>
      <c r="CS8" s="73" t="n"/>
      <c r="CT8" s="73" t="n"/>
      <c r="CU8" s="73" t="n"/>
      <c r="CV8" s="73" t="n"/>
      <c r="CW8" s="73" t="n"/>
      <c r="CX8" s="73" t="n"/>
      <c r="CY8" s="73" t="n"/>
      <c r="CZ8" s="73" t="n"/>
      <c r="DA8" s="73" t="n"/>
      <c r="DB8" s="73" t="n"/>
      <c r="DC8" s="73" t="n"/>
      <c r="DD8" s="73" t="n"/>
      <c r="DE8" s="73" t="n"/>
      <c r="DF8" s="73" t="n"/>
      <c r="DG8" s="73" t="n"/>
      <c r="DH8" s="73" t="n"/>
      <c r="DI8" s="73" t="n"/>
      <c r="DJ8" s="73" t="n"/>
      <c r="DK8" s="73" t="n"/>
      <c r="DL8" s="73" t="n"/>
      <c r="DM8" s="73" t="n"/>
      <c r="DN8" s="73" t="n"/>
      <c r="DO8" s="73" t="n"/>
      <c r="DP8" s="73" t="n"/>
      <c r="DQ8" s="73" t="n"/>
      <c r="DR8" s="73" t="n"/>
      <c r="DS8" s="73" t="n"/>
      <c r="DT8" s="73" t="n"/>
      <c r="DU8" s="73" t="n"/>
      <c r="DV8" s="73" t="n"/>
      <c r="DW8" s="73" t="n"/>
      <c r="DX8" s="73" t="n"/>
      <c r="DY8" s="73" t="n"/>
      <c r="DZ8" s="73" t="n"/>
      <c r="EA8" s="73" t="n"/>
      <c r="EB8" s="73" t="n"/>
      <c r="EC8" s="73" t="n"/>
      <c r="ED8" s="73" t="n"/>
      <c r="EE8" s="73" t="n"/>
      <c r="EF8" s="73" t="n"/>
      <c r="EG8" s="73" t="n"/>
      <c r="EH8" s="73" t="n"/>
      <c r="EI8" s="73" t="n"/>
      <c r="EJ8" s="73" t="n"/>
      <c r="EK8" s="73" t="n"/>
      <c r="EL8" s="73" t="n"/>
      <c r="EM8" s="73" t="n"/>
      <c r="EN8" s="73" t="n"/>
      <c r="EO8" s="73" t="n"/>
      <c r="EP8" s="73" t="n"/>
      <c r="EQ8" s="73" t="n"/>
      <c r="ER8" s="73" t="n"/>
      <c r="ES8" s="73" t="n"/>
      <c r="ET8" s="73" t="n"/>
      <c r="EU8" s="73" t="n"/>
      <c r="EV8" s="73" t="n"/>
      <c r="EW8" s="73" t="n"/>
      <c r="EX8" s="73" t="n"/>
      <c r="EY8" s="73" t="n"/>
      <c r="EZ8" s="73" t="n"/>
      <c r="FA8" s="73" t="n"/>
      <c r="FB8" s="73" t="n"/>
      <c r="FC8" s="73" t="n"/>
      <c r="FD8" s="73" t="n"/>
      <c r="FE8" s="73" t="n"/>
      <c r="FF8" s="73" t="n"/>
      <c r="FG8" s="73" t="n"/>
      <c r="FH8" s="73" t="n"/>
      <c r="FI8" s="73" t="n"/>
      <c r="FJ8" s="73" t="n"/>
      <c r="FK8" s="73" t="n"/>
      <c r="FL8" s="73" t="n"/>
      <c r="FM8" s="73" t="n"/>
      <c r="FN8" s="73" t="n"/>
      <c r="FO8" s="73" t="n"/>
      <c r="FP8" s="73" t="n"/>
      <c r="FQ8" s="73" t="n"/>
      <c r="FR8" s="73" t="n"/>
      <c r="FS8" s="73" t="n"/>
      <c r="FT8" s="73" t="n"/>
      <c r="FU8" s="73" t="n"/>
      <c r="FV8" s="73" t="n"/>
      <c r="FW8" s="73" t="n"/>
      <c r="FX8" s="73" t="n"/>
      <c r="FY8" s="73" t="n"/>
      <c r="FZ8" s="73" t="n"/>
      <c r="GA8" s="73" t="n"/>
      <c r="GB8" s="73" t="n"/>
      <c r="GC8" s="73" t="n"/>
      <c r="GD8" s="73" t="n"/>
      <c r="GE8" s="73" t="n"/>
      <c r="GF8" s="73" t="n"/>
      <c r="GG8" s="73" t="n"/>
      <c r="GH8" s="73" t="n"/>
      <c r="GI8" s="73" t="n"/>
      <c r="GJ8" s="73" t="n"/>
      <c r="GK8" s="73" t="n"/>
      <c r="GL8" s="73" t="n"/>
      <c r="GM8" s="73" t="n"/>
      <c r="GN8" s="73" t="n"/>
      <c r="GO8" s="73" t="n"/>
      <c r="GP8" s="73" t="n"/>
      <c r="GQ8" s="73" t="n"/>
      <c r="GR8" s="73" t="n"/>
      <c r="GS8" s="73" t="n"/>
      <c r="GT8" s="73" t="n"/>
      <c r="GU8" s="73" t="n"/>
      <c r="GV8" s="73" t="n"/>
      <c r="GW8" s="73" t="n"/>
      <c r="GX8" s="73" t="n"/>
      <c r="GY8" s="73" t="n"/>
      <c r="GZ8" s="73" t="n"/>
      <c r="HA8" s="73" t="n"/>
      <c r="HB8" s="73" t="n"/>
      <c r="HC8" s="73" t="n"/>
      <c r="HD8" s="73" t="n"/>
      <c r="HE8" s="73" t="n"/>
      <c r="HF8" s="73" t="n"/>
      <c r="HG8" s="73" t="n"/>
      <c r="HH8" s="73" t="n"/>
      <c r="HI8" s="73" t="n"/>
      <c r="HJ8" s="73" t="n"/>
      <c r="HK8" s="73" t="n"/>
      <c r="HL8" s="73" t="n"/>
      <c r="HM8" s="73" t="n"/>
      <c r="HN8" s="73" t="n"/>
      <c r="HO8" s="73" t="n"/>
      <c r="HP8" s="73" t="n"/>
      <c r="HQ8" s="73" t="n"/>
      <c r="HR8" s="73" t="n"/>
      <c r="HS8" s="73" t="n"/>
      <c r="HT8" s="73" t="n"/>
      <c r="HU8" s="73" t="n"/>
      <c r="HV8" s="73" t="n"/>
      <c r="HW8" s="73" t="n"/>
      <c r="HX8" s="73" t="n"/>
      <c r="HY8" s="73" t="n"/>
      <c r="HZ8" s="73" t="n"/>
      <c r="IA8" s="73" t="n"/>
      <c r="IB8" s="73" t="n"/>
      <c r="IC8" s="73" t="n"/>
      <c r="ID8" s="73" t="n"/>
      <c r="IE8" s="73" t="n"/>
      <c r="IF8" s="73" t="n"/>
      <c r="IG8" s="73" t="n"/>
      <c r="IH8" s="73" t="n"/>
      <c r="II8" s="73" t="n"/>
      <c r="IJ8" s="73" t="n"/>
      <c r="IK8" s="73" t="n"/>
      <c r="IL8" s="73" t="n"/>
      <c r="IM8" s="73" t="n"/>
      <c r="IN8" s="73" t="n"/>
      <c r="IO8" s="73" t="n"/>
      <c r="IP8" s="73" t="n"/>
      <c r="IQ8" s="73" t="n"/>
      <c r="IR8" s="73" t="n"/>
      <c r="IS8" s="73" t="n"/>
      <c r="IT8" s="73" t="n"/>
      <c r="IU8" s="73" t="n"/>
      <c r="IV8" s="73" t="n"/>
      <c r="IW8" s="73" t="n"/>
    </row>
    <row r="9" ht="14.25" customHeight="1" s="72">
      <c r="A9" s="83" t="n"/>
      <c r="B9" s="83" t="inlineStr">
        <is>
          <t>유 효 기 간 : 견적일로부터 30일</t>
        </is>
      </c>
      <c r="C9" s="83" t="n"/>
      <c r="D9" s="83" t="n"/>
      <c r="E9" s="83" t="n"/>
      <c r="F9" s="85" t="n"/>
      <c r="G9" s="87" t="n"/>
      <c r="H9" s="85" t="n"/>
      <c r="I9" s="83" t="inlineStr">
        <is>
          <t>팩       스 : 02) 2039-8161</t>
        </is>
      </c>
      <c r="J9" s="83" t="n"/>
      <c r="K9" s="83" t="n"/>
      <c r="L9" s="73" t="n"/>
      <c r="M9" s="73" t="n"/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73" t="n"/>
      <c r="Y9" s="73" t="n"/>
      <c r="Z9" s="73" t="n"/>
      <c r="AA9" s="73" t="n"/>
      <c r="AB9" s="73" t="n"/>
      <c r="AC9" s="73" t="n"/>
      <c r="AD9" s="73" t="n"/>
      <c r="AE9" s="73" t="n"/>
      <c r="AF9" s="73" t="n"/>
      <c r="AG9" s="73" t="n"/>
      <c r="AH9" s="73" t="n"/>
      <c r="AI9" s="73" t="n"/>
      <c r="AJ9" s="73" t="n"/>
      <c r="AK9" s="73" t="n"/>
      <c r="AL9" s="73" t="n"/>
      <c r="AM9" s="73" t="n"/>
      <c r="AN9" s="73" t="n"/>
      <c r="AO9" s="73" t="n"/>
      <c r="AP9" s="73" t="n"/>
      <c r="AQ9" s="73" t="n"/>
      <c r="AR9" s="73" t="n"/>
      <c r="AS9" s="73" t="n"/>
      <c r="AT9" s="73" t="n"/>
      <c r="AU9" s="73" t="n"/>
      <c r="AV9" s="73" t="n"/>
      <c r="AW9" s="73" t="n"/>
      <c r="AX9" s="73" t="n"/>
      <c r="AY9" s="73" t="n"/>
      <c r="AZ9" s="73" t="n"/>
      <c r="BA9" s="73" t="n"/>
      <c r="BB9" s="73" t="n"/>
      <c r="BC9" s="73" t="n"/>
      <c r="BD9" s="73" t="n"/>
      <c r="BE9" s="73" t="n"/>
      <c r="BF9" s="73" t="n"/>
      <c r="BG9" s="73" t="n"/>
      <c r="BH9" s="73" t="n"/>
      <c r="BI9" s="73" t="n"/>
      <c r="BJ9" s="73" t="n"/>
      <c r="BK9" s="73" t="n"/>
      <c r="BL9" s="73" t="n"/>
      <c r="BM9" s="73" t="n"/>
      <c r="BN9" s="73" t="n"/>
      <c r="BO9" s="73" t="n"/>
      <c r="BP9" s="73" t="n"/>
      <c r="BQ9" s="73" t="n"/>
      <c r="BR9" s="73" t="n"/>
      <c r="BS9" s="73" t="n"/>
      <c r="BT9" s="73" t="n"/>
      <c r="BU9" s="73" t="n"/>
      <c r="BV9" s="73" t="n"/>
      <c r="BW9" s="73" t="n"/>
      <c r="BX9" s="73" t="n"/>
      <c r="BY9" s="73" t="n"/>
      <c r="BZ9" s="73" t="n"/>
      <c r="CA9" s="73" t="n"/>
      <c r="CB9" s="73" t="n"/>
      <c r="CC9" s="73" t="n"/>
      <c r="CD9" s="73" t="n"/>
      <c r="CE9" s="73" t="n"/>
      <c r="CF9" s="73" t="n"/>
      <c r="CG9" s="73" t="n"/>
      <c r="CH9" s="73" t="n"/>
      <c r="CI9" s="73" t="n"/>
      <c r="CJ9" s="73" t="n"/>
      <c r="CK9" s="73" t="n"/>
      <c r="CL9" s="73" t="n"/>
      <c r="CM9" s="73" t="n"/>
      <c r="CN9" s="73" t="n"/>
      <c r="CO9" s="73" t="n"/>
      <c r="CP9" s="73" t="n"/>
      <c r="CQ9" s="73" t="n"/>
      <c r="CR9" s="73" t="n"/>
      <c r="CS9" s="73" t="n"/>
      <c r="CT9" s="73" t="n"/>
      <c r="CU9" s="73" t="n"/>
      <c r="CV9" s="73" t="n"/>
      <c r="CW9" s="73" t="n"/>
      <c r="CX9" s="73" t="n"/>
      <c r="CY9" s="73" t="n"/>
      <c r="CZ9" s="73" t="n"/>
      <c r="DA9" s="73" t="n"/>
      <c r="DB9" s="73" t="n"/>
      <c r="DC9" s="73" t="n"/>
      <c r="DD9" s="73" t="n"/>
      <c r="DE9" s="73" t="n"/>
      <c r="DF9" s="73" t="n"/>
      <c r="DG9" s="73" t="n"/>
      <c r="DH9" s="73" t="n"/>
      <c r="DI9" s="73" t="n"/>
      <c r="DJ9" s="73" t="n"/>
      <c r="DK9" s="73" t="n"/>
      <c r="DL9" s="73" t="n"/>
      <c r="DM9" s="73" t="n"/>
      <c r="DN9" s="73" t="n"/>
      <c r="DO9" s="73" t="n"/>
      <c r="DP9" s="73" t="n"/>
      <c r="DQ9" s="73" t="n"/>
      <c r="DR9" s="73" t="n"/>
      <c r="DS9" s="73" t="n"/>
      <c r="DT9" s="73" t="n"/>
      <c r="DU9" s="73" t="n"/>
      <c r="DV9" s="73" t="n"/>
      <c r="DW9" s="73" t="n"/>
      <c r="DX9" s="73" t="n"/>
      <c r="DY9" s="73" t="n"/>
      <c r="DZ9" s="73" t="n"/>
      <c r="EA9" s="73" t="n"/>
      <c r="EB9" s="73" t="n"/>
      <c r="EC9" s="73" t="n"/>
      <c r="ED9" s="73" t="n"/>
      <c r="EE9" s="73" t="n"/>
      <c r="EF9" s="73" t="n"/>
      <c r="EG9" s="73" t="n"/>
      <c r="EH9" s="73" t="n"/>
      <c r="EI9" s="73" t="n"/>
      <c r="EJ9" s="73" t="n"/>
      <c r="EK9" s="73" t="n"/>
      <c r="EL9" s="73" t="n"/>
      <c r="EM9" s="73" t="n"/>
      <c r="EN9" s="73" t="n"/>
      <c r="EO9" s="73" t="n"/>
      <c r="EP9" s="73" t="n"/>
      <c r="EQ9" s="73" t="n"/>
      <c r="ER9" s="73" t="n"/>
      <c r="ES9" s="73" t="n"/>
      <c r="ET9" s="73" t="n"/>
      <c r="EU9" s="73" t="n"/>
      <c r="EV9" s="73" t="n"/>
      <c r="EW9" s="73" t="n"/>
      <c r="EX9" s="73" t="n"/>
      <c r="EY9" s="73" t="n"/>
      <c r="EZ9" s="73" t="n"/>
      <c r="FA9" s="73" t="n"/>
      <c r="FB9" s="73" t="n"/>
      <c r="FC9" s="73" t="n"/>
      <c r="FD9" s="73" t="n"/>
      <c r="FE9" s="73" t="n"/>
      <c r="FF9" s="73" t="n"/>
      <c r="FG9" s="73" t="n"/>
      <c r="FH9" s="73" t="n"/>
      <c r="FI9" s="73" t="n"/>
      <c r="FJ9" s="73" t="n"/>
      <c r="FK9" s="73" t="n"/>
      <c r="FL9" s="73" t="n"/>
      <c r="FM9" s="73" t="n"/>
      <c r="FN9" s="73" t="n"/>
      <c r="FO9" s="73" t="n"/>
      <c r="FP9" s="73" t="n"/>
      <c r="FQ9" s="73" t="n"/>
      <c r="FR9" s="73" t="n"/>
      <c r="FS9" s="73" t="n"/>
      <c r="FT9" s="73" t="n"/>
      <c r="FU9" s="73" t="n"/>
      <c r="FV9" s="73" t="n"/>
      <c r="FW9" s="73" t="n"/>
      <c r="FX9" s="73" t="n"/>
      <c r="FY9" s="73" t="n"/>
      <c r="FZ9" s="73" t="n"/>
      <c r="GA9" s="73" t="n"/>
      <c r="GB9" s="73" t="n"/>
      <c r="GC9" s="73" t="n"/>
      <c r="GD9" s="73" t="n"/>
      <c r="GE9" s="73" t="n"/>
      <c r="GF9" s="73" t="n"/>
      <c r="GG9" s="73" t="n"/>
      <c r="GH9" s="73" t="n"/>
      <c r="GI9" s="73" t="n"/>
      <c r="GJ9" s="73" t="n"/>
      <c r="GK9" s="73" t="n"/>
      <c r="GL9" s="73" t="n"/>
      <c r="GM9" s="73" t="n"/>
      <c r="GN9" s="73" t="n"/>
      <c r="GO9" s="73" t="n"/>
      <c r="GP9" s="73" t="n"/>
      <c r="GQ9" s="73" t="n"/>
      <c r="GR9" s="73" t="n"/>
      <c r="GS9" s="73" t="n"/>
      <c r="GT9" s="73" t="n"/>
      <c r="GU9" s="73" t="n"/>
      <c r="GV9" s="73" t="n"/>
      <c r="GW9" s="73" t="n"/>
      <c r="GX9" s="73" t="n"/>
      <c r="GY9" s="73" t="n"/>
      <c r="GZ9" s="73" t="n"/>
      <c r="HA9" s="73" t="n"/>
      <c r="HB9" s="73" t="n"/>
      <c r="HC9" s="73" t="n"/>
      <c r="HD9" s="73" t="n"/>
      <c r="HE9" s="73" t="n"/>
      <c r="HF9" s="73" t="n"/>
      <c r="HG9" s="73" t="n"/>
      <c r="HH9" s="73" t="n"/>
      <c r="HI9" s="73" t="n"/>
      <c r="HJ9" s="73" t="n"/>
      <c r="HK9" s="73" t="n"/>
      <c r="HL9" s="73" t="n"/>
      <c r="HM9" s="73" t="n"/>
      <c r="HN9" s="73" t="n"/>
      <c r="HO9" s="73" t="n"/>
      <c r="HP9" s="73" t="n"/>
      <c r="HQ9" s="73" t="n"/>
      <c r="HR9" s="73" t="n"/>
      <c r="HS9" s="73" t="n"/>
      <c r="HT9" s="73" t="n"/>
      <c r="HU9" s="73" t="n"/>
      <c r="HV9" s="73" t="n"/>
      <c r="HW9" s="73" t="n"/>
      <c r="HX9" s="73" t="n"/>
      <c r="HY9" s="73" t="n"/>
      <c r="HZ9" s="73" t="n"/>
      <c r="IA9" s="73" t="n"/>
      <c r="IB9" s="73" t="n"/>
      <c r="IC9" s="73" t="n"/>
      <c r="ID9" s="73" t="n"/>
      <c r="IE9" s="73" t="n"/>
      <c r="IF9" s="73" t="n"/>
      <c r="IG9" s="73" t="n"/>
      <c r="IH9" s="73" t="n"/>
      <c r="II9" s="73" t="n"/>
      <c r="IJ9" s="73" t="n"/>
      <c r="IK9" s="73" t="n"/>
      <c r="IL9" s="73" t="n"/>
      <c r="IM9" s="73" t="n"/>
      <c r="IN9" s="73" t="n"/>
      <c r="IO9" s="73" t="n"/>
      <c r="IP9" s="73" t="n"/>
      <c r="IQ9" s="73" t="n"/>
      <c r="IR9" s="73" t="n"/>
      <c r="IS9" s="73" t="n"/>
      <c r="IT9" s="73" t="n"/>
      <c r="IU9" s="73" t="n"/>
      <c r="IV9" s="73" t="n"/>
      <c r="IW9" s="73" t="n"/>
    </row>
    <row r="10" ht="14.25" customHeight="1" s="72">
      <c r="A10" s="88" t="n"/>
      <c r="B10" s="87" t="inlineStr">
        <is>
          <t>견 적 번 호 : SKS-YYYYMMDD-NN</t>
        </is>
      </c>
      <c r="C10" s="88" t="n"/>
      <c r="D10" s="88" t="n"/>
      <c r="E10" s="88" t="n"/>
      <c r="F10" s="85" t="n"/>
      <c r="G10" s="88" t="n"/>
      <c r="H10" s="85" t="n"/>
      <c r="I10" s="88" t="inlineStr">
        <is>
          <t xml:space="preserve">주       소 : 경상북도 포항시 북구 흥해읍 융합기술로66, </t>
        </is>
      </c>
      <c r="J10" s="88" t="n"/>
      <c r="K10" s="85" t="n"/>
    </row>
    <row r="11" ht="14.25" customHeight="1" s="72">
      <c r="A11" s="88" t="n"/>
      <c r="B11" s="87" t="n"/>
      <c r="C11" s="88" t="n"/>
      <c r="D11" s="88" t="n"/>
      <c r="E11" s="88" t="n"/>
      <c r="F11" s="85" t="n"/>
      <c r="G11" s="88" t="n"/>
      <c r="H11" s="85" t="n"/>
      <c r="I11" s="88" t="inlineStr">
        <is>
          <t xml:space="preserve">              포항지식산업센터 408~409호</t>
        </is>
      </c>
      <c r="J11" s="88" t="n"/>
      <c r="K11" s="85" t="n"/>
    </row>
    <row r="12" ht="14.25" customHeight="1" s="72">
      <c r="A12" s="88" t="n"/>
      <c r="B12" s="87" t="inlineStr">
        <is>
          <t>아래와 같이 견적합니다.</t>
        </is>
      </c>
      <c r="C12" s="88" t="n"/>
      <c r="D12" s="88" t="n"/>
      <c r="E12" s="88" t="n"/>
      <c r="F12" s="85" t="n"/>
      <c r="G12" s="88" t="n"/>
      <c r="H12" s="85" t="n"/>
      <c r="I12" s="88" t="n"/>
      <c r="J12" s="88" t="n"/>
      <c r="K12" s="85" t="n"/>
    </row>
    <row r="13" ht="14.25" customHeight="1" s="72">
      <c r="B13" s="87" t="n"/>
      <c r="C13" s="70" t="n"/>
      <c r="D13" s="70" t="n"/>
      <c r="E13" s="70" t="n"/>
      <c r="G13" s="70" t="n"/>
      <c r="I13" s="70" t="n"/>
      <c r="J13" s="70" t="n"/>
      <c r="K13" s="71" t="n"/>
    </row>
    <row r="14" ht="36" customHeight="1" s="72">
      <c r="B14" s="89" t="inlineStr">
        <is>
          <t>최종 견적 금액 : 일금 (한글 금액) 원 정((숫자)원) (VAT 별도)</t>
        </is>
      </c>
      <c r="C14" s="90" t="n"/>
      <c r="D14" s="90" t="n"/>
      <c r="E14" s="90" t="n"/>
      <c r="J14" s="71" t="n"/>
      <c r="K14" s="91" t="n"/>
    </row>
    <row r="15" ht="39.95" customHeight="1" s="72">
      <c r="B15" s="92" t="inlineStr">
        <is>
          <t>SEQ</t>
        </is>
      </c>
      <c r="C15" s="93" t="inlineStr">
        <is>
          <t>구분</t>
        </is>
      </c>
      <c r="D15" s="94" t="n"/>
      <c r="E15" s="95" t="inlineStr">
        <is>
          <t>세부내용</t>
        </is>
      </c>
      <c r="F15" s="96" t="inlineStr">
        <is>
          <t>인원</t>
        </is>
      </c>
      <c r="G15" s="97" t="inlineStr">
        <is>
          <t>단가</t>
        </is>
      </c>
      <c r="H15" s="96" t="inlineStr">
        <is>
          <t>투입월</t>
        </is>
      </c>
      <c r="I15" s="97" t="inlineStr">
        <is>
          <t>금액</t>
        </is>
      </c>
      <c r="J15" s="96" t="inlineStr">
        <is>
          <t>할인금액</t>
        </is>
      </c>
      <c r="K15" s="98" t="inlineStr">
        <is>
          <t>비고</t>
        </is>
      </c>
    </row>
    <row r="16" ht="39.95" customHeight="1" s="72">
      <c r="B16" s="99" t="inlineStr">
        <is>
          <t>(과업명)</t>
        </is>
      </c>
      <c r="C16" s="100" t="n"/>
      <c r="D16" s="100" t="n"/>
      <c r="E16" s="100" t="n"/>
      <c r="F16" s="100" t="n"/>
      <c r="G16" s="100" t="n"/>
      <c r="H16" s="100" t="n"/>
      <c r="I16" s="100" t="n"/>
      <c r="J16" s="100" t="n"/>
      <c r="K16" s="101" t="n"/>
    </row>
    <row r="17" ht="57" customHeight="1" s="72">
      <c r="B17" s="102" t="n"/>
      <c r="C17" s="103" t="n"/>
      <c r="D17" s="104" t="inlineStr">
        <is>
          <t>IT기획자</t>
        </is>
      </c>
      <c r="E17" s="105" t="inlineStr">
        <is>
          <t>- 정보기술기획</t>
        </is>
      </c>
      <c r="F17" s="103" t="n"/>
      <c r="G17" s="106" t="n">
        <v>11853218</v>
      </c>
      <c r="H17" s="103" t="n"/>
      <c r="I17" s="107">
        <f>F17*G17*H17</f>
        <v/>
      </c>
      <c r="J17" s="108" t="n">
        <v>0</v>
      </c>
      <c r="K17" s="109" t="n"/>
    </row>
    <row r="18" ht="57" customHeight="1" s="72">
      <c r="B18" s="110" t="n"/>
      <c r="C18" s="111" t="n"/>
      <c r="D18" s="112" t="inlineStr">
        <is>
          <t>응용SW개발자</t>
        </is>
      </c>
      <c r="E18" s="113" t="inlineStr">
        <is>
          <t>- 응용SW개발</t>
        </is>
      </c>
      <c r="F18" s="103" t="n"/>
      <c r="G18" s="114" t="n">
        <v>7754124</v>
      </c>
      <c r="H18" s="103" t="n"/>
      <c r="I18" s="107">
        <f>F18*G18*H18</f>
        <v/>
      </c>
      <c r="J18" s="108" t="n">
        <v>0</v>
      </c>
      <c r="K18" s="109" t="n"/>
    </row>
    <row r="19" ht="57" customHeight="1" s="72">
      <c r="B19" s="110" t="n"/>
      <c r="C19" s="111" t="n"/>
      <c r="D19" s="112" t="inlineStr">
        <is>
          <t>시스템SW개발자</t>
        </is>
      </c>
      <c r="E19" s="113" t="inlineStr">
        <is>
          <t>- 시스템SW개발</t>
        </is>
      </c>
      <c r="F19" s="103" t="n"/>
      <c r="G19" s="114" t="n">
        <v>5840196</v>
      </c>
      <c r="H19" s="103" t="n"/>
      <c r="I19" s="107">
        <f>F19*G19*H19</f>
        <v/>
      </c>
      <c r="J19" s="108" t="n">
        <v>0</v>
      </c>
      <c r="K19" s="109" t="n"/>
    </row>
    <row r="20" ht="57" customHeight="1" s="72">
      <c r="B20" s="110" t="n"/>
      <c r="C20" s="111" t="n"/>
      <c r="D20" s="104" t="inlineStr">
        <is>
          <t>정보시스템운용자</t>
        </is>
      </c>
      <c r="E20" s="105" t="inlineStr">
        <is>
          <t>- 빅데이터엔지니어</t>
        </is>
      </c>
      <c r="F20" s="103" t="n"/>
      <c r="G20" s="106" t="n">
        <v>10649117</v>
      </c>
      <c r="H20" s="103" t="n"/>
      <c r="I20" s="107">
        <f>F20*G20*H20</f>
        <v/>
      </c>
      <c r="J20" s="108" t="n">
        <v>0</v>
      </c>
      <c r="K20" s="109" t="n"/>
    </row>
    <row r="21" ht="57" customHeight="1" s="72">
      <c r="B21" s="110" t="n"/>
      <c r="C21" s="111" t="n"/>
      <c r="D21" s="112" t="inlineStr">
        <is>
          <t>UI/UX기획/개발자</t>
        </is>
      </c>
      <c r="E21" s="113" t="inlineStr">
        <is>
          <t>- UI/UX기획, 개발</t>
        </is>
      </c>
      <c r="F21" s="103" t="n"/>
      <c r="G21" s="114" t="n">
        <v>6901660</v>
      </c>
      <c r="H21" s="103" t="n"/>
      <c r="I21" s="107">
        <f>F21*G21*H21</f>
        <v/>
      </c>
      <c r="J21" s="108" t="n">
        <v>0</v>
      </c>
      <c r="K21" s="109" t="n"/>
    </row>
    <row r="22" ht="57" customHeight="1" s="72">
      <c r="B22" s="110" t="n"/>
      <c r="C22" s="111" t="n"/>
      <c r="D22" s="104" t="inlineStr">
        <is>
          <t>IT품질관리자</t>
        </is>
      </c>
      <c r="E22" s="105" t="inlineStr">
        <is>
          <t>- 품질관리, 테스트</t>
        </is>
      </c>
      <c r="F22" s="103" t="n"/>
      <c r="G22" s="106" t="n">
        <v>11042071</v>
      </c>
      <c r="H22" s="103" t="n"/>
      <c r="I22" s="107">
        <f>F22*G22*H22</f>
        <v/>
      </c>
      <c r="J22" s="108" t="n">
        <v>0</v>
      </c>
      <c r="K22" s="109" t="n"/>
    </row>
    <row r="23" ht="57" customHeight="1" s="72">
      <c r="B23" s="115" t="n"/>
      <c r="C23" s="116" t="n"/>
      <c r="D23" s="104" t="inlineStr">
        <is>
          <t>정보보안전문가</t>
        </is>
      </c>
      <c r="E23" s="105" t="inlineStr">
        <is>
          <t>- 정보보호관리, 침해대응 테스트</t>
        </is>
      </c>
      <c r="F23" s="103" t="n"/>
      <c r="G23" s="106" t="n">
        <v>10411680</v>
      </c>
      <c r="H23" s="103" t="n"/>
      <c r="I23" s="107">
        <f>F23*G23*H23</f>
        <v/>
      </c>
      <c r="J23" s="108" t="n">
        <v>0</v>
      </c>
      <c r="K23" s="109" t="n"/>
    </row>
    <row r="24" ht="39.95" customHeight="1" s="72">
      <c r="B24" s="117" t="inlineStr">
        <is>
          <t>소계</t>
        </is>
      </c>
      <c r="C24" s="118" t="n"/>
      <c r="D24" s="118" t="n"/>
      <c r="E24" s="118" t="n"/>
      <c r="F24" s="119" t="inlineStr">
        <is>
          <t>-</t>
        </is>
      </c>
      <c r="G24" s="119" t="inlineStr">
        <is>
          <t>-</t>
        </is>
      </c>
      <c r="H24" s="119" t="inlineStr">
        <is>
          <t>-</t>
        </is>
      </c>
      <c r="I24" s="120">
        <f>SUM(I17:I23)</f>
        <v/>
      </c>
      <c r="J24" s="121" t="n">
        <v>0</v>
      </c>
      <c r="K24" s="122" t="n"/>
    </row>
    <row r="25" ht="39.95" customHeight="1" s="72">
      <c r="B25" s="123" t="n">
        <v>2</v>
      </c>
      <c r="C25" s="124" t="inlineStr">
        <is>
          <t>재경비</t>
        </is>
      </c>
      <c r="D25" s="125" t="n"/>
      <c r="E25" s="126" t="inlineStr">
        <is>
          <t>- 제공 기술에 대한 일반 재경비</t>
        </is>
      </c>
      <c r="F25" s="124" t="inlineStr">
        <is>
          <t>-</t>
        </is>
      </c>
      <c r="G25" s="124" t="inlineStr">
        <is>
          <t>-</t>
        </is>
      </c>
      <c r="H25" s="124" t="inlineStr">
        <is>
          <t>-</t>
        </is>
      </c>
      <c r="I25" s="127">
        <f>I24*0%</f>
        <v/>
      </c>
      <c r="J25" s="127" t="n"/>
      <c r="K25" s="128" t="n"/>
    </row>
    <row r="26" ht="39.95" customHeight="1" s="72">
      <c r="B26" s="102" t="n">
        <v>3</v>
      </c>
      <c r="C26" s="124" t="inlineStr">
        <is>
          <t>기술료</t>
        </is>
      </c>
      <c r="D26" s="125" t="n"/>
      <c r="E26" s="126" t="inlineStr">
        <is>
          <t>- 제공 기술료</t>
        </is>
      </c>
      <c r="F26" s="103" t="inlineStr">
        <is>
          <t>-</t>
        </is>
      </c>
      <c r="G26" s="124" t="inlineStr">
        <is>
          <t>-</t>
        </is>
      </c>
      <c r="H26" s="103" t="inlineStr">
        <is>
          <t>-</t>
        </is>
      </c>
      <c r="I26" s="107">
        <f>(I24+I25)*0</f>
        <v/>
      </c>
      <c r="J26" s="107" t="n"/>
      <c r="K26" s="129" t="n"/>
    </row>
    <row r="27" ht="39.95" customHeight="1" s="72">
      <c r="B27" s="130" t="inlineStr">
        <is>
          <t>소계</t>
        </is>
      </c>
      <c r="C27" s="131" t="n"/>
      <c r="D27" s="131" t="n"/>
      <c r="E27" s="131" t="n"/>
      <c r="F27" s="119" t="inlineStr">
        <is>
          <t>-</t>
        </is>
      </c>
      <c r="G27" s="119" t="inlineStr">
        <is>
          <t>-</t>
        </is>
      </c>
      <c r="H27" s="119" t="inlineStr">
        <is>
          <t>-</t>
        </is>
      </c>
      <c r="I27" s="120">
        <f>SUM(I25:I26)</f>
        <v/>
      </c>
      <c r="J27" s="121">
        <f>I27</f>
        <v/>
      </c>
      <c r="K27" s="122" t="n"/>
    </row>
    <row r="28" ht="39.95" customHeight="1" s="72">
      <c r="B28" s="132" t="inlineStr">
        <is>
          <t>합계</t>
        </is>
      </c>
      <c r="C28" s="100" t="n"/>
      <c r="D28" s="100" t="n"/>
      <c r="E28" s="100" t="n"/>
      <c r="F28" s="133" t="inlineStr">
        <is>
          <t>-</t>
        </is>
      </c>
      <c r="G28" s="133" t="inlineStr">
        <is>
          <t>-</t>
        </is>
      </c>
      <c r="H28" s="133" t="inlineStr">
        <is>
          <t>-</t>
        </is>
      </c>
      <c r="I28" s="134">
        <f>I24+I27</f>
        <v/>
      </c>
      <c r="J28" s="134">
        <f>J24+J27</f>
        <v/>
      </c>
      <c r="K28" s="135" t="n"/>
    </row>
    <row r="29" ht="20.1" customHeight="1" s="72">
      <c r="B29" s="136" t="inlineStr">
        <is>
          <t>특별 견적 금액</t>
        </is>
      </c>
      <c r="C29" s="137" t="n"/>
      <c r="D29" s="137" t="n"/>
      <c r="E29" s="137" t="n"/>
      <c r="F29" s="93" t="n"/>
      <c r="G29" s="93" t="n"/>
      <c r="H29" s="93" t="n"/>
      <c r="I29" s="138">
        <f>I28</f>
        <v/>
      </c>
      <c r="J29" s="139">
        <f>I28</f>
        <v/>
      </c>
      <c r="K29" s="140" t="inlineStr">
        <is>
          <t>*할인률</t>
        </is>
      </c>
    </row>
    <row r="30" ht="20.1" customHeight="1" s="72">
      <c r="B30" s="141" t="n"/>
      <c r="C30" s="142" t="n"/>
      <c r="D30" s="142" t="n"/>
      <c r="E30" s="142" t="n"/>
      <c r="F30" s="143" t="n"/>
      <c r="G30" s="143" t="n"/>
      <c r="H30" s="143" t="n"/>
      <c r="I30" s="143" t="n"/>
      <c r="J30" s="143" t="n"/>
      <c r="K30" s="144">
        <f>100%-(J29/I29)</f>
        <v/>
      </c>
    </row>
    <row r="31" ht="69.75" customHeight="1" s="72">
      <c r="B31" s="145" t="inlineStr">
        <is>
          <t>※ 비 고
   - 단가는 SW기술자 직무별 평균임금 체계를 따른 당사 표준 단가 기준임 (직무 행은 과업에 맞게 증감)
   - 상기 금액은 부가가치세(VAT) 별도 금액임
   - 재경비·기술료는 협의에 따라 별도 산정하며, 계약 조건은 계약서에 따름</t>
        </is>
      </c>
      <c r="C31" s="137" t="n"/>
      <c r="D31" s="137" t="n"/>
      <c r="E31" s="137" t="n"/>
      <c r="F31" s="137" t="n"/>
      <c r="G31" s="137" t="n"/>
      <c r="H31" s="137" t="n"/>
      <c r="I31" s="137" t="n"/>
      <c r="J31" s="137" t="n"/>
      <c r="K31" s="146" t="n"/>
    </row>
    <row r="32" ht="33.75" customHeight="1" s="72">
      <c r="B32" s="141" t="n"/>
      <c r="C32" s="142" t="n"/>
      <c r="D32" s="142" t="n"/>
      <c r="E32" s="142" t="n"/>
      <c r="F32" s="142" t="n"/>
      <c r="G32" s="142" t="n"/>
      <c r="H32" s="142" t="n"/>
      <c r="I32" s="142" t="n"/>
      <c r="J32" s="142" t="n"/>
      <c r="K32" s="147" t="n"/>
    </row>
    <row r="33" ht="10.5" customHeight="1" s="72">
      <c r="B33" s="148" t="n"/>
      <c r="C33" s="148" t="n"/>
      <c r="D33" s="148" t="n"/>
      <c r="E33" s="148" t="n"/>
      <c r="F33" s="81" t="n"/>
      <c r="G33" s="148" t="n"/>
      <c r="H33" s="81" t="n"/>
      <c r="I33" s="148" t="n"/>
      <c r="J33" s="148" t="n"/>
      <c r="K33" s="148" t="n"/>
    </row>
    <row r="34" ht="7.5" customHeight="1" s="72"/>
    <row r="36" ht="12" customHeight="1" s="72">
      <c r="J36" s="149" t="n"/>
    </row>
    <row r="37" ht="12" customHeight="1" s="72">
      <c r="J37" s="149" t="n"/>
    </row>
    <row r="38" ht="12" customHeight="1" s="72">
      <c r="J38" s="150" t="n"/>
    </row>
  </sheetData>
  <mergeCells count="18">
    <mergeCell ref="F29:F30"/>
    <mergeCell ref="B29:E30"/>
    <mergeCell ref="B27:E27"/>
    <mergeCell ref="B31:K32"/>
    <mergeCell ref="B1:K1"/>
    <mergeCell ref="H29:H30"/>
    <mergeCell ref="C15:D15"/>
    <mergeCell ref="G29:G30"/>
    <mergeCell ref="C25:D25"/>
    <mergeCell ref="B17:B23"/>
    <mergeCell ref="C26:D26"/>
    <mergeCell ref="C17:C23"/>
    <mergeCell ref="I29:I30"/>
    <mergeCell ref="B4:G5"/>
    <mergeCell ref="B24:E24"/>
    <mergeCell ref="B16:K16"/>
    <mergeCell ref="B28:E28"/>
    <mergeCell ref="J29:J30"/>
  </mergeCells>
  <printOptions horizontalCentered="1" verticalCentered="0" headings="0" gridLines="0" gridLinesSet="1"/>
  <pageMargins left="0.590277777777778" right="0.590277777777778" top="0.9840277777777779" bottom="0.9840277777777779" header="0.511811023622047" footer="0.511811023622047"/>
  <pageSetup orientation="portrait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W34"/>
  <sheetViews>
    <sheetView showFormulas="0" showGridLines="0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7890625" defaultRowHeight="12" customHeight="0" zeroHeight="0" outlineLevelRow="0"/>
  <cols>
    <col width="1.77" customWidth="1" style="70" min="1" max="1"/>
    <col width="5.55" customWidth="1" style="70" min="2" max="3"/>
    <col width="9.43" customWidth="1" style="70" min="4" max="4"/>
    <col width="26.43" customWidth="1" style="70" min="5" max="5"/>
    <col width="13.32" customWidth="1" style="70" min="6" max="6"/>
    <col width="10.55" customWidth="1" style="71" min="7" max="7"/>
    <col width="13.32" customWidth="1" style="70" min="8" max="8"/>
    <col width="17.87" customWidth="1" style="70" min="9" max="9"/>
    <col width="16.77" customWidth="1" style="70" min="10" max="10"/>
    <col width="1.77" customWidth="1" style="70" min="11" max="11"/>
    <col width="8.869999999999999" customWidth="1" style="70" min="12" max="257"/>
  </cols>
  <sheetData>
    <row r="1" ht="43.5" customHeight="1" s="72">
      <c r="A1" s="73" t="n"/>
      <c r="B1" s="74" t="inlineStr">
        <is>
          <t>견    적    서</t>
        </is>
      </c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73" t="n"/>
      <c r="Y1" s="73" t="n"/>
      <c r="Z1" s="73" t="n"/>
      <c r="AA1" s="73" t="n"/>
      <c r="AB1" s="73" t="n"/>
      <c r="AC1" s="73" t="n"/>
      <c r="AD1" s="73" t="n"/>
      <c r="AE1" s="73" t="n"/>
      <c r="AF1" s="73" t="n"/>
      <c r="AG1" s="73" t="n"/>
      <c r="AH1" s="73" t="n"/>
      <c r="AI1" s="73" t="n"/>
      <c r="AJ1" s="73" t="n"/>
      <c r="AK1" s="73" t="n"/>
      <c r="AL1" s="73" t="n"/>
      <c r="AM1" s="73" t="n"/>
      <c r="AN1" s="73" t="n"/>
      <c r="AO1" s="73" t="n"/>
      <c r="AP1" s="73" t="n"/>
      <c r="AQ1" s="73" t="n"/>
      <c r="AR1" s="73" t="n"/>
      <c r="AS1" s="73" t="n"/>
      <c r="AT1" s="73" t="n"/>
      <c r="AU1" s="73" t="n"/>
      <c r="AV1" s="73" t="n"/>
      <c r="AW1" s="73" t="n"/>
      <c r="AX1" s="73" t="n"/>
      <c r="AY1" s="73" t="n"/>
      <c r="AZ1" s="73" t="n"/>
      <c r="BA1" s="73" t="n"/>
      <c r="BB1" s="73" t="n"/>
      <c r="BC1" s="73" t="n"/>
      <c r="BD1" s="73" t="n"/>
      <c r="BE1" s="73" t="n"/>
      <c r="BF1" s="73" t="n"/>
      <c r="BG1" s="73" t="n"/>
      <c r="BH1" s="73" t="n"/>
      <c r="BI1" s="73" t="n"/>
      <c r="BJ1" s="73" t="n"/>
      <c r="BK1" s="73" t="n"/>
      <c r="BL1" s="73" t="n"/>
      <c r="BM1" s="73" t="n"/>
      <c r="BN1" s="73" t="n"/>
      <c r="BO1" s="73" t="n"/>
      <c r="BP1" s="73" t="n"/>
      <c r="BQ1" s="73" t="n"/>
      <c r="BR1" s="73" t="n"/>
      <c r="BS1" s="73" t="n"/>
      <c r="BT1" s="73" t="n"/>
      <c r="BU1" s="73" t="n"/>
      <c r="BV1" s="73" t="n"/>
      <c r="BW1" s="73" t="n"/>
      <c r="BX1" s="73" t="n"/>
      <c r="BY1" s="73" t="n"/>
      <c r="BZ1" s="73" t="n"/>
      <c r="CA1" s="73" t="n"/>
      <c r="CB1" s="73" t="n"/>
      <c r="CC1" s="73" t="n"/>
      <c r="CD1" s="73" t="n"/>
      <c r="CE1" s="73" t="n"/>
      <c r="CF1" s="73" t="n"/>
      <c r="CG1" s="73" t="n"/>
      <c r="CH1" s="73" t="n"/>
      <c r="CI1" s="73" t="n"/>
      <c r="CJ1" s="73" t="n"/>
      <c r="CK1" s="73" t="n"/>
      <c r="CL1" s="73" t="n"/>
      <c r="CM1" s="73" t="n"/>
      <c r="CN1" s="73" t="n"/>
      <c r="CO1" s="73" t="n"/>
      <c r="CP1" s="73" t="n"/>
      <c r="CQ1" s="73" t="n"/>
      <c r="CR1" s="73" t="n"/>
      <c r="CS1" s="73" t="n"/>
      <c r="CT1" s="73" t="n"/>
      <c r="CU1" s="73" t="n"/>
      <c r="CV1" s="73" t="n"/>
      <c r="CW1" s="73" t="n"/>
      <c r="CX1" s="73" t="n"/>
      <c r="CY1" s="73" t="n"/>
      <c r="CZ1" s="73" t="n"/>
      <c r="DA1" s="73" t="n"/>
      <c r="DB1" s="73" t="n"/>
      <c r="DC1" s="73" t="n"/>
      <c r="DD1" s="73" t="n"/>
      <c r="DE1" s="73" t="n"/>
      <c r="DF1" s="73" t="n"/>
      <c r="DG1" s="73" t="n"/>
      <c r="DH1" s="73" t="n"/>
      <c r="DI1" s="73" t="n"/>
      <c r="DJ1" s="73" t="n"/>
      <c r="DK1" s="73" t="n"/>
      <c r="DL1" s="73" t="n"/>
      <c r="DM1" s="73" t="n"/>
      <c r="DN1" s="73" t="n"/>
      <c r="DO1" s="73" t="n"/>
      <c r="DP1" s="73" t="n"/>
      <c r="DQ1" s="73" t="n"/>
      <c r="DR1" s="73" t="n"/>
      <c r="DS1" s="73" t="n"/>
      <c r="DT1" s="73" t="n"/>
      <c r="DU1" s="73" t="n"/>
      <c r="DV1" s="73" t="n"/>
      <c r="DW1" s="73" t="n"/>
      <c r="DX1" s="73" t="n"/>
      <c r="DY1" s="73" t="n"/>
      <c r="DZ1" s="73" t="n"/>
      <c r="EA1" s="73" t="n"/>
      <c r="EB1" s="73" t="n"/>
      <c r="EC1" s="73" t="n"/>
      <c r="ED1" s="73" t="n"/>
      <c r="EE1" s="73" t="n"/>
      <c r="EF1" s="73" t="n"/>
      <c r="EG1" s="73" t="n"/>
      <c r="EH1" s="73" t="n"/>
      <c r="EI1" s="73" t="n"/>
      <c r="EJ1" s="73" t="n"/>
      <c r="EK1" s="73" t="n"/>
      <c r="EL1" s="73" t="n"/>
      <c r="EM1" s="73" t="n"/>
      <c r="EN1" s="73" t="n"/>
      <c r="EO1" s="73" t="n"/>
      <c r="EP1" s="73" t="n"/>
      <c r="EQ1" s="73" t="n"/>
      <c r="ER1" s="73" t="n"/>
      <c r="ES1" s="73" t="n"/>
      <c r="ET1" s="73" t="n"/>
      <c r="EU1" s="73" t="n"/>
      <c r="EV1" s="73" t="n"/>
      <c r="EW1" s="73" t="n"/>
      <c r="EX1" s="73" t="n"/>
      <c r="EY1" s="73" t="n"/>
      <c r="EZ1" s="73" t="n"/>
      <c r="FA1" s="73" t="n"/>
      <c r="FB1" s="73" t="n"/>
      <c r="FC1" s="73" t="n"/>
      <c r="FD1" s="73" t="n"/>
      <c r="FE1" s="73" t="n"/>
      <c r="FF1" s="73" t="n"/>
      <c r="FG1" s="73" t="n"/>
      <c r="FH1" s="73" t="n"/>
      <c r="FI1" s="73" t="n"/>
      <c r="FJ1" s="73" t="n"/>
      <c r="FK1" s="73" t="n"/>
      <c r="FL1" s="73" t="n"/>
      <c r="FM1" s="73" t="n"/>
      <c r="FN1" s="73" t="n"/>
      <c r="FO1" s="73" t="n"/>
      <c r="FP1" s="73" t="n"/>
      <c r="FQ1" s="73" t="n"/>
      <c r="FR1" s="73" t="n"/>
      <c r="FS1" s="73" t="n"/>
      <c r="FT1" s="73" t="n"/>
      <c r="FU1" s="73" t="n"/>
      <c r="FV1" s="73" t="n"/>
      <c r="FW1" s="73" t="n"/>
      <c r="FX1" s="73" t="n"/>
      <c r="FY1" s="73" t="n"/>
      <c r="FZ1" s="73" t="n"/>
      <c r="GA1" s="73" t="n"/>
      <c r="GB1" s="73" t="n"/>
      <c r="GC1" s="73" t="n"/>
      <c r="GD1" s="73" t="n"/>
      <c r="GE1" s="73" t="n"/>
      <c r="GF1" s="73" t="n"/>
      <c r="GG1" s="73" t="n"/>
      <c r="GH1" s="73" t="n"/>
      <c r="GI1" s="73" t="n"/>
      <c r="GJ1" s="73" t="n"/>
      <c r="GK1" s="73" t="n"/>
      <c r="GL1" s="73" t="n"/>
      <c r="GM1" s="73" t="n"/>
      <c r="GN1" s="73" t="n"/>
      <c r="GO1" s="73" t="n"/>
      <c r="GP1" s="73" t="n"/>
      <c r="GQ1" s="73" t="n"/>
      <c r="GR1" s="73" t="n"/>
      <c r="GS1" s="73" t="n"/>
      <c r="GT1" s="73" t="n"/>
      <c r="GU1" s="73" t="n"/>
      <c r="GV1" s="73" t="n"/>
      <c r="GW1" s="73" t="n"/>
      <c r="GX1" s="73" t="n"/>
      <c r="GY1" s="73" t="n"/>
      <c r="GZ1" s="73" t="n"/>
      <c r="HA1" s="73" t="n"/>
      <c r="HB1" s="73" t="n"/>
      <c r="HC1" s="73" t="n"/>
      <c r="HD1" s="73" t="n"/>
      <c r="HE1" s="73" t="n"/>
      <c r="HF1" s="73" t="n"/>
      <c r="HG1" s="73" t="n"/>
      <c r="HH1" s="73" t="n"/>
      <c r="HI1" s="73" t="n"/>
      <c r="HJ1" s="73" t="n"/>
      <c r="HK1" s="73" t="n"/>
      <c r="HL1" s="73" t="n"/>
      <c r="HM1" s="73" t="n"/>
      <c r="HN1" s="73" t="n"/>
      <c r="HO1" s="73" t="n"/>
      <c r="HP1" s="73" t="n"/>
      <c r="HQ1" s="73" t="n"/>
      <c r="HR1" s="73" t="n"/>
      <c r="HS1" s="73" t="n"/>
      <c r="HT1" s="73" t="n"/>
      <c r="HU1" s="73" t="n"/>
      <c r="HV1" s="73" t="n"/>
      <c r="HW1" s="73" t="n"/>
      <c r="HX1" s="73" t="n"/>
      <c r="HY1" s="73" t="n"/>
      <c r="HZ1" s="73" t="n"/>
      <c r="IA1" s="73" t="n"/>
      <c r="IB1" s="73" t="n"/>
      <c r="IC1" s="73" t="n"/>
      <c r="ID1" s="73" t="n"/>
      <c r="IE1" s="73" t="n"/>
      <c r="IF1" s="73" t="n"/>
      <c r="IG1" s="73" t="n"/>
      <c r="IH1" s="73" t="n"/>
      <c r="II1" s="73" t="n"/>
      <c r="IJ1" s="73" t="n"/>
      <c r="IK1" s="73" t="n"/>
      <c r="IL1" s="73" t="n"/>
      <c r="IM1" s="73" t="n"/>
      <c r="IN1" s="73" t="n"/>
      <c r="IO1" s="73" t="n"/>
      <c r="IP1" s="73" t="n"/>
      <c r="IQ1" s="73" t="n"/>
      <c r="IR1" s="73" t="n"/>
      <c r="IS1" s="73" t="n"/>
      <c r="IT1" s="73" t="n"/>
      <c r="IU1" s="73" t="n"/>
      <c r="IV1" s="73" t="n"/>
      <c r="IW1" s="73" t="n"/>
    </row>
    <row r="2" ht="31.5" customHeight="1" s="72">
      <c r="A2" s="73" t="n"/>
      <c r="B2" s="73" t="n"/>
      <c r="C2" s="73" t="n"/>
      <c r="D2" s="73" t="n"/>
      <c r="E2" s="75" t="n"/>
      <c r="F2" s="75" t="n"/>
      <c r="G2" s="76" t="n"/>
      <c r="H2" s="75" t="n"/>
      <c r="I2" s="75" t="n"/>
      <c r="J2" s="77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73" t="n"/>
      <c r="Y2" s="73" t="n"/>
      <c r="Z2" s="73" t="n"/>
      <c r="AA2" s="73" t="n"/>
      <c r="AB2" s="73" t="n"/>
      <c r="AC2" s="73" t="n"/>
      <c r="AD2" s="73" t="n"/>
      <c r="AE2" s="73" t="n"/>
      <c r="AF2" s="73" t="n"/>
      <c r="AG2" s="73" t="n"/>
      <c r="AH2" s="73" t="n"/>
      <c r="AI2" s="73" t="n"/>
      <c r="AJ2" s="73" t="n"/>
      <c r="AK2" s="73" t="n"/>
      <c r="AL2" s="73" t="n"/>
      <c r="AM2" s="73" t="n"/>
      <c r="AN2" s="73" t="n"/>
      <c r="AO2" s="73" t="n"/>
      <c r="AP2" s="73" t="n"/>
      <c r="AQ2" s="73" t="n"/>
      <c r="AR2" s="73" t="n"/>
      <c r="AS2" s="73" t="n"/>
      <c r="AT2" s="73" t="n"/>
      <c r="AU2" s="73" t="n"/>
      <c r="AV2" s="73" t="n"/>
      <c r="AW2" s="73" t="n"/>
      <c r="AX2" s="73" t="n"/>
      <c r="AY2" s="73" t="n"/>
      <c r="AZ2" s="73" t="n"/>
      <c r="BA2" s="73" t="n"/>
      <c r="BB2" s="73" t="n"/>
      <c r="BC2" s="73" t="n"/>
      <c r="BD2" s="73" t="n"/>
      <c r="BE2" s="73" t="n"/>
      <c r="BF2" s="73" t="n"/>
      <c r="BG2" s="73" t="n"/>
      <c r="BH2" s="73" t="n"/>
      <c r="BI2" s="73" t="n"/>
      <c r="BJ2" s="73" t="n"/>
      <c r="BK2" s="73" t="n"/>
      <c r="BL2" s="73" t="n"/>
      <c r="BM2" s="73" t="n"/>
      <c r="BN2" s="73" t="n"/>
      <c r="BO2" s="73" t="n"/>
      <c r="BP2" s="73" t="n"/>
      <c r="BQ2" s="73" t="n"/>
      <c r="BR2" s="73" t="n"/>
      <c r="BS2" s="73" t="n"/>
      <c r="BT2" s="73" t="n"/>
      <c r="BU2" s="73" t="n"/>
      <c r="BV2" s="73" t="n"/>
      <c r="BW2" s="73" t="n"/>
      <c r="BX2" s="73" t="n"/>
      <c r="BY2" s="73" t="n"/>
      <c r="BZ2" s="73" t="n"/>
      <c r="CA2" s="73" t="n"/>
      <c r="CB2" s="73" t="n"/>
      <c r="CC2" s="73" t="n"/>
      <c r="CD2" s="73" t="n"/>
      <c r="CE2" s="73" t="n"/>
      <c r="CF2" s="73" t="n"/>
      <c r="CG2" s="73" t="n"/>
      <c r="CH2" s="73" t="n"/>
      <c r="CI2" s="73" t="n"/>
      <c r="CJ2" s="73" t="n"/>
      <c r="CK2" s="73" t="n"/>
      <c r="CL2" s="73" t="n"/>
      <c r="CM2" s="73" t="n"/>
      <c r="CN2" s="73" t="n"/>
      <c r="CO2" s="73" t="n"/>
      <c r="CP2" s="73" t="n"/>
      <c r="CQ2" s="73" t="n"/>
      <c r="CR2" s="73" t="n"/>
      <c r="CS2" s="73" t="n"/>
      <c r="CT2" s="73" t="n"/>
      <c r="CU2" s="73" t="n"/>
      <c r="CV2" s="73" t="n"/>
      <c r="CW2" s="73" t="n"/>
      <c r="CX2" s="73" t="n"/>
      <c r="CY2" s="73" t="n"/>
      <c r="CZ2" s="73" t="n"/>
      <c r="DA2" s="73" t="n"/>
      <c r="DB2" s="73" t="n"/>
      <c r="DC2" s="73" t="n"/>
      <c r="DD2" s="73" t="n"/>
      <c r="DE2" s="73" t="n"/>
      <c r="DF2" s="73" t="n"/>
      <c r="DG2" s="73" t="n"/>
      <c r="DH2" s="73" t="n"/>
      <c r="DI2" s="73" t="n"/>
      <c r="DJ2" s="73" t="n"/>
      <c r="DK2" s="73" t="n"/>
      <c r="DL2" s="73" t="n"/>
      <c r="DM2" s="73" t="n"/>
      <c r="DN2" s="73" t="n"/>
      <c r="DO2" s="73" t="n"/>
      <c r="DP2" s="73" t="n"/>
      <c r="DQ2" s="73" t="n"/>
      <c r="DR2" s="73" t="n"/>
      <c r="DS2" s="73" t="n"/>
      <c r="DT2" s="73" t="n"/>
      <c r="DU2" s="73" t="n"/>
      <c r="DV2" s="73" t="n"/>
      <c r="DW2" s="73" t="n"/>
      <c r="DX2" s="73" t="n"/>
      <c r="DY2" s="73" t="n"/>
      <c r="DZ2" s="73" t="n"/>
      <c r="EA2" s="73" t="n"/>
      <c r="EB2" s="73" t="n"/>
      <c r="EC2" s="73" t="n"/>
      <c r="ED2" s="73" t="n"/>
      <c r="EE2" s="73" t="n"/>
      <c r="EF2" s="73" t="n"/>
      <c r="EG2" s="73" t="n"/>
      <c r="EH2" s="73" t="n"/>
      <c r="EI2" s="73" t="n"/>
      <c r="EJ2" s="73" t="n"/>
      <c r="EK2" s="73" t="n"/>
      <c r="EL2" s="73" t="n"/>
      <c r="EM2" s="73" t="n"/>
      <c r="EN2" s="73" t="n"/>
      <c r="EO2" s="73" t="n"/>
      <c r="EP2" s="73" t="n"/>
      <c r="EQ2" s="73" t="n"/>
      <c r="ER2" s="73" t="n"/>
      <c r="ES2" s="73" t="n"/>
      <c r="ET2" s="73" t="n"/>
      <c r="EU2" s="73" t="n"/>
      <c r="EV2" s="73" t="n"/>
      <c r="EW2" s="73" t="n"/>
      <c r="EX2" s="73" t="n"/>
      <c r="EY2" s="73" t="n"/>
      <c r="EZ2" s="73" t="n"/>
      <c r="FA2" s="73" t="n"/>
      <c r="FB2" s="73" t="n"/>
      <c r="FC2" s="73" t="n"/>
      <c r="FD2" s="73" t="n"/>
      <c r="FE2" s="73" t="n"/>
      <c r="FF2" s="73" t="n"/>
      <c r="FG2" s="73" t="n"/>
      <c r="FH2" s="73" t="n"/>
      <c r="FI2" s="73" t="n"/>
      <c r="FJ2" s="73" t="n"/>
      <c r="FK2" s="73" t="n"/>
      <c r="FL2" s="73" t="n"/>
      <c r="FM2" s="73" t="n"/>
      <c r="FN2" s="73" t="n"/>
      <c r="FO2" s="73" t="n"/>
      <c r="FP2" s="73" t="n"/>
      <c r="FQ2" s="73" t="n"/>
      <c r="FR2" s="73" t="n"/>
      <c r="FS2" s="73" t="n"/>
      <c r="FT2" s="73" t="n"/>
      <c r="FU2" s="73" t="n"/>
      <c r="FV2" s="73" t="n"/>
      <c r="FW2" s="73" t="n"/>
      <c r="FX2" s="73" t="n"/>
      <c r="FY2" s="73" t="n"/>
      <c r="FZ2" s="73" t="n"/>
      <c r="GA2" s="73" t="n"/>
      <c r="GB2" s="73" t="n"/>
      <c r="GC2" s="73" t="n"/>
      <c r="GD2" s="73" t="n"/>
      <c r="GE2" s="73" t="n"/>
      <c r="GF2" s="73" t="n"/>
      <c r="GG2" s="73" t="n"/>
      <c r="GH2" s="73" t="n"/>
      <c r="GI2" s="73" t="n"/>
      <c r="GJ2" s="73" t="n"/>
      <c r="GK2" s="73" t="n"/>
      <c r="GL2" s="73" t="n"/>
      <c r="GM2" s="73" t="n"/>
      <c r="GN2" s="73" t="n"/>
      <c r="GO2" s="73" t="n"/>
      <c r="GP2" s="73" t="n"/>
      <c r="GQ2" s="73" t="n"/>
      <c r="GR2" s="73" t="n"/>
      <c r="GS2" s="73" t="n"/>
      <c r="GT2" s="73" t="n"/>
      <c r="GU2" s="73" t="n"/>
      <c r="GV2" s="73" t="n"/>
      <c r="GW2" s="73" t="n"/>
      <c r="GX2" s="73" t="n"/>
      <c r="GY2" s="73" t="n"/>
      <c r="GZ2" s="73" t="n"/>
      <c r="HA2" s="73" t="n"/>
      <c r="HB2" s="73" t="n"/>
      <c r="HC2" s="73" t="n"/>
      <c r="HD2" s="73" t="n"/>
      <c r="HE2" s="73" t="n"/>
      <c r="HF2" s="73" t="n"/>
      <c r="HG2" s="73" t="n"/>
      <c r="HH2" s="73" t="n"/>
      <c r="HI2" s="73" t="n"/>
      <c r="HJ2" s="73" t="n"/>
      <c r="HK2" s="73" t="n"/>
      <c r="HL2" s="73" t="n"/>
      <c r="HM2" s="73" t="n"/>
      <c r="HN2" s="73" t="n"/>
      <c r="HO2" s="73" t="n"/>
      <c r="HP2" s="73" t="n"/>
      <c r="HQ2" s="73" t="n"/>
      <c r="HR2" s="73" t="n"/>
      <c r="HS2" s="73" t="n"/>
      <c r="HT2" s="73" t="n"/>
      <c r="HU2" s="73" t="n"/>
      <c r="HV2" s="73" t="n"/>
      <c r="HW2" s="73" t="n"/>
      <c r="HX2" s="73" t="n"/>
      <c r="HY2" s="73" t="n"/>
      <c r="HZ2" s="73" t="n"/>
      <c r="IA2" s="73" t="n"/>
      <c r="IB2" s="73" t="n"/>
      <c r="IC2" s="73" t="n"/>
      <c r="ID2" s="73" t="n"/>
      <c r="IE2" s="73" t="n"/>
      <c r="IF2" s="73" t="n"/>
      <c r="IG2" s="73" t="n"/>
      <c r="IH2" s="73" t="n"/>
      <c r="II2" s="73" t="n"/>
      <c r="IJ2" s="73" t="n"/>
      <c r="IK2" s="73" t="n"/>
      <c r="IL2" s="73" t="n"/>
      <c r="IM2" s="73" t="n"/>
      <c r="IN2" s="73" t="n"/>
      <c r="IO2" s="73" t="n"/>
      <c r="IP2" s="73" t="n"/>
      <c r="IQ2" s="73" t="n"/>
      <c r="IR2" s="73" t="n"/>
      <c r="IS2" s="73" t="n"/>
      <c r="IT2" s="73" t="n"/>
      <c r="IU2" s="73" t="n"/>
      <c r="IV2" s="73" t="n"/>
      <c r="IW2" s="73" t="n"/>
    </row>
    <row r="3" ht="31.5" customHeight="1" s="72">
      <c r="A3" s="73" t="n"/>
      <c r="B3" s="73" t="n"/>
      <c r="C3" s="73" t="n"/>
      <c r="D3" s="73" t="n"/>
      <c r="E3" s="75" t="n"/>
      <c r="F3" s="75" t="n"/>
      <c r="G3" s="76" t="n"/>
      <c r="H3" s="75" t="n"/>
      <c r="I3" s="75" t="n"/>
      <c r="J3" s="77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Z3" s="73" t="n"/>
      <c r="AA3" s="73" t="n"/>
      <c r="AB3" s="73" t="n"/>
      <c r="AC3" s="73" t="n"/>
      <c r="AD3" s="73" t="n"/>
      <c r="AE3" s="73" t="n"/>
      <c r="AF3" s="73" t="n"/>
      <c r="AG3" s="73" t="n"/>
      <c r="AH3" s="73" t="n"/>
      <c r="AI3" s="73" t="n"/>
      <c r="AJ3" s="73" t="n"/>
      <c r="AK3" s="73" t="n"/>
      <c r="AL3" s="73" t="n"/>
      <c r="AM3" s="73" t="n"/>
      <c r="AN3" s="73" t="n"/>
      <c r="AO3" s="73" t="n"/>
      <c r="AP3" s="73" t="n"/>
      <c r="AQ3" s="73" t="n"/>
      <c r="AR3" s="73" t="n"/>
      <c r="AS3" s="73" t="n"/>
      <c r="AT3" s="73" t="n"/>
      <c r="AU3" s="73" t="n"/>
      <c r="AV3" s="73" t="n"/>
      <c r="AW3" s="73" t="n"/>
      <c r="AX3" s="73" t="n"/>
      <c r="AY3" s="73" t="n"/>
      <c r="AZ3" s="73" t="n"/>
      <c r="BA3" s="73" t="n"/>
      <c r="BB3" s="73" t="n"/>
      <c r="BC3" s="73" t="n"/>
      <c r="BD3" s="73" t="n"/>
      <c r="BE3" s="73" t="n"/>
      <c r="BF3" s="73" t="n"/>
      <c r="BG3" s="73" t="n"/>
      <c r="BH3" s="73" t="n"/>
      <c r="BI3" s="73" t="n"/>
      <c r="BJ3" s="73" t="n"/>
      <c r="BK3" s="73" t="n"/>
      <c r="BL3" s="73" t="n"/>
      <c r="BM3" s="73" t="n"/>
      <c r="BN3" s="73" t="n"/>
      <c r="BO3" s="73" t="n"/>
      <c r="BP3" s="73" t="n"/>
      <c r="BQ3" s="73" t="n"/>
      <c r="BR3" s="73" t="n"/>
      <c r="BS3" s="73" t="n"/>
      <c r="BT3" s="73" t="n"/>
      <c r="BU3" s="73" t="n"/>
      <c r="BV3" s="73" t="n"/>
      <c r="BW3" s="73" t="n"/>
      <c r="BX3" s="73" t="n"/>
      <c r="BY3" s="73" t="n"/>
      <c r="BZ3" s="73" t="n"/>
      <c r="CA3" s="73" t="n"/>
      <c r="CB3" s="73" t="n"/>
      <c r="CC3" s="73" t="n"/>
      <c r="CD3" s="73" t="n"/>
      <c r="CE3" s="73" t="n"/>
      <c r="CF3" s="73" t="n"/>
      <c r="CG3" s="73" t="n"/>
      <c r="CH3" s="73" t="n"/>
      <c r="CI3" s="73" t="n"/>
      <c r="CJ3" s="73" t="n"/>
      <c r="CK3" s="73" t="n"/>
      <c r="CL3" s="73" t="n"/>
      <c r="CM3" s="73" t="n"/>
      <c r="CN3" s="73" t="n"/>
      <c r="CO3" s="73" t="n"/>
      <c r="CP3" s="73" t="n"/>
      <c r="CQ3" s="73" t="n"/>
      <c r="CR3" s="73" t="n"/>
      <c r="CS3" s="73" t="n"/>
      <c r="CT3" s="73" t="n"/>
      <c r="CU3" s="73" t="n"/>
      <c r="CV3" s="73" t="n"/>
      <c r="CW3" s="73" t="n"/>
      <c r="CX3" s="73" t="n"/>
      <c r="CY3" s="73" t="n"/>
      <c r="CZ3" s="73" t="n"/>
      <c r="DA3" s="73" t="n"/>
      <c r="DB3" s="73" t="n"/>
      <c r="DC3" s="73" t="n"/>
      <c r="DD3" s="73" t="n"/>
      <c r="DE3" s="73" t="n"/>
      <c r="DF3" s="73" t="n"/>
      <c r="DG3" s="73" t="n"/>
      <c r="DH3" s="73" t="n"/>
      <c r="DI3" s="73" t="n"/>
      <c r="DJ3" s="73" t="n"/>
      <c r="DK3" s="73" t="n"/>
      <c r="DL3" s="73" t="n"/>
      <c r="DM3" s="73" t="n"/>
      <c r="DN3" s="73" t="n"/>
      <c r="DO3" s="73" t="n"/>
      <c r="DP3" s="73" t="n"/>
      <c r="DQ3" s="73" t="n"/>
      <c r="DR3" s="73" t="n"/>
      <c r="DS3" s="73" t="n"/>
      <c r="DT3" s="73" t="n"/>
      <c r="DU3" s="73" t="n"/>
      <c r="DV3" s="73" t="n"/>
      <c r="DW3" s="73" t="n"/>
      <c r="DX3" s="73" t="n"/>
      <c r="DY3" s="73" t="n"/>
      <c r="DZ3" s="73" t="n"/>
      <c r="EA3" s="73" t="n"/>
      <c r="EB3" s="73" t="n"/>
      <c r="EC3" s="73" t="n"/>
      <c r="ED3" s="73" t="n"/>
      <c r="EE3" s="73" t="n"/>
      <c r="EF3" s="73" t="n"/>
      <c r="EG3" s="73" t="n"/>
      <c r="EH3" s="73" t="n"/>
      <c r="EI3" s="73" t="n"/>
      <c r="EJ3" s="73" t="n"/>
      <c r="EK3" s="73" t="n"/>
      <c r="EL3" s="73" t="n"/>
      <c r="EM3" s="73" t="n"/>
      <c r="EN3" s="73" t="n"/>
      <c r="EO3" s="73" t="n"/>
      <c r="EP3" s="73" t="n"/>
      <c r="EQ3" s="73" t="n"/>
      <c r="ER3" s="73" t="n"/>
      <c r="ES3" s="73" t="n"/>
      <c r="ET3" s="73" t="n"/>
      <c r="EU3" s="73" t="n"/>
      <c r="EV3" s="73" t="n"/>
      <c r="EW3" s="73" t="n"/>
      <c r="EX3" s="73" t="n"/>
      <c r="EY3" s="73" t="n"/>
      <c r="EZ3" s="73" t="n"/>
      <c r="FA3" s="73" t="n"/>
      <c r="FB3" s="73" t="n"/>
      <c r="FC3" s="73" t="n"/>
      <c r="FD3" s="73" t="n"/>
      <c r="FE3" s="73" t="n"/>
      <c r="FF3" s="73" t="n"/>
      <c r="FG3" s="73" t="n"/>
      <c r="FH3" s="73" t="n"/>
      <c r="FI3" s="73" t="n"/>
      <c r="FJ3" s="73" t="n"/>
      <c r="FK3" s="73" t="n"/>
      <c r="FL3" s="73" t="n"/>
      <c r="FM3" s="73" t="n"/>
      <c r="FN3" s="73" t="n"/>
      <c r="FO3" s="73" t="n"/>
      <c r="FP3" s="73" t="n"/>
      <c r="FQ3" s="73" t="n"/>
      <c r="FR3" s="73" t="n"/>
      <c r="FS3" s="73" t="n"/>
      <c r="FT3" s="73" t="n"/>
      <c r="FU3" s="73" t="n"/>
      <c r="FV3" s="73" t="n"/>
      <c r="FW3" s="73" t="n"/>
      <c r="FX3" s="73" t="n"/>
      <c r="FY3" s="73" t="n"/>
      <c r="FZ3" s="73" t="n"/>
      <c r="GA3" s="73" t="n"/>
      <c r="GB3" s="73" t="n"/>
      <c r="GC3" s="73" t="n"/>
      <c r="GD3" s="73" t="n"/>
      <c r="GE3" s="73" t="n"/>
      <c r="GF3" s="73" t="n"/>
      <c r="GG3" s="73" t="n"/>
      <c r="GH3" s="73" t="n"/>
      <c r="GI3" s="73" t="n"/>
      <c r="GJ3" s="73" t="n"/>
      <c r="GK3" s="73" t="n"/>
      <c r="GL3" s="73" t="n"/>
      <c r="GM3" s="73" t="n"/>
      <c r="GN3" s="73" t="n"/>
      <c r="GO3" s="73" t="n"/>
      <c r="GP3" s="73" t="n"/>
      <c r="GQ3" s="73" t="n"/>
      <c r="GR3" s="73" t="n"/>
      <c r="GS3" s="73" t="n"/>
      <c r="GT3" s="73" t="n"/>
      <c r="GU3" s="73" t="n"/>
      <c r="GV3" s="73" t="n"/>
      <c r="GW3" s="73" t="n"/>
      <c r="GX3" s="73" t="n"/>
      <c r="GY3" s="73" t="n"/>
      <c r="GZ3" s="73" t="n"/>
      <c r="HA3" s="73" t="n"/>
      <c r="HB3" s="73" t="n"/>
      <c r="HC3" s="73" t="n"/>
      <c r="HD3" s="73" t="n"/>
      <c r="HE3" s="73" t="n"/>
      <c r="HF3" s="73" t="n"/>
      <c r="HG3" s="73" t="n"/>
      <c r="HH3" s="73" t="n"/>
      <c r="HI3" s="73" t="n"/>
      <c r="HJ3" s="73" t="n"/>
      <c r="HK3" s="73" t="n"/>
      <c r="HL3" s="73" t="n"/>
      <c r="HM3" s="73" t="n"/>
      <c r="HN3" s="73" t="n"/>
      <c r="HO3" s="73" t="n"/>
      <c r="HP3" s="73" t="n"/>
      <c r="HQ3" s="73" t="n"/>
      <c r="HR3" s="73" t="n"/>
      <c r="HS3" s="73" t="n"/>
      <c r="HT3" s="73" t="n"/>
      <c r="HU3" s="73" t="n"/>
      <c r="HV3" s="73" t="n"/>
      <c r="HW3" s="73" t="n"/>
      <c r="HX3" s="73" t="n"/>
      <c r="HY3" s="73" t="n"/>
      <c r="HZ3" s="73" t="n"/>
      <c r="IA3" s="73" t="n"/>
      <c r="IB3" s="73" t="n"/>
      <c r="IC3" s="73" t="n"/>
      <c r="ID3" s="73" t="n"/>
      <c r="IE3" s="73" t="n"/>
      <c r="IF3" s="73" t="n"/>
      <c r="IG3" s="73" t="n"/>
      <c r="IH3" s="73" t="n"/>
      <c r="II3" s="73" t="n"/>
      <c r="IJ3" s="73" t="n"/>
      <c r="IK3" s="73" t="n"/>
      <c r="IL3" s="73" t="n"/>
      <c r="IM3" s="73" t="n"/>
      <c r="IN3" s="73" t="n"/>
      <c r="IO3" s="73" t="n"/>
      <c r="IP3" s="73" t="n"/>
      <c r="IQ3" s="73" t="n"/>
      <c r="IR3" s="73" t="n"/>
      <c r="IS3" s="73" t="n"/>
      <c r="IT3" s="73" t="n"/>
      <c r="IU3" s="73" t="n"/>
      <c r="IV3" s="73" t="n"/>
      <c r="IW3" s="73" t="n"/>
    </row>
    <row r="4" ht="31.5" customHeight="1" s="72">
      <c r="A4" s="73" t="n"/>
      <c r="B4" s="78" t="inlineStr">
        <is>
          <t>(수신처) 귀중</t>
        </is>
      </c>
      <c r="G4" s="79" t="n"/>
      <c r="H4" s="80" t="n"/>
      <c r="I4" s="80" t="n"/>
      <c r="J4" s="80" t="n"/>
      <c r="K4" s="73" t="n"/>
      <c r="L4" s="73" t="n"/>
      <c r="M4" s="73" t="n"/>
      <c r="N4" s="73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73" t="n"/>
      <c r="Y4" s="73" t="n"/>
      <c r="Z4" s="73" t="n"/>
      <c r="AA4" s="73" t="n"/>
      <c r="AB4" s="73" t="n"/>
      <c r="AC4" s="73" t="n"/>
      <c r="AD4" s="73" t="n"/>
      <c r="AE4" s="73" t="n"/>
      <c r="AF4" s="73" t="n"/>
      <c r="AG4" s="73" t="n"/>
      <c r="AH4" s="73" t="n"/>
      <c r="AI4" s="73" t="n"/>
      <c r="AJ4" s="73" t="n"/>
      <c r="AK4" s="73" t="n"/>
      <c r="AL4" s="73" t="n"/>
      <c r="AM4" s="73" t="n"/>
      <c r="AN4" s="73" t="n"/>
      <c r="AO4" s="73" t="n"/>
      <c r="AP4" s="73" t="n"/>
      <c r="AQ4" s="73" t="n"/>
      <c r="AR4" s="73" t="n"/>
      <c r="AS4" s="73" t="n"/>
      <c r="AT4" s="73" t="n"/>
      <c r="AU4" s="73" t="n"/>
      <c r="AV4" s="73" t="n"/>
      <c r="AW4" s="73" t="n"/>
      <c r="AX4" s="73" t="n"/>
      <c r="AY4" s="73" t="n"/>
      <c r="AZ4" s="73" t="n"/>
      <c r="BA4" s="73" t="n"/>
      <c r="BB4" s="73" t="n"/>
      <c r="BC4" s="73" t="n"/>
      <c r="BD4" s="73" t="n"/>
      <c r="BE4" s="73" t="n"/>
      <c r="BF4" s="73" t="n"/>
      <c r="BG4" s="73" t="n"/>
      <c r="BH4" s="73" t="n"/>
      <c r="BI4" s="73" t="n"/>
      <c r="BJ4" s="73" t="n"/>
      <c r="BK4" s="73" t="n"/>
      <c r="BL4" s="73" t="n"/>
      <c r="BM4" s="73" t="n"/>
      <c r="BN4" s="73" t="n"/>
      <c r="BO4" s="73" t="n"/>
      <c r="BP4" s="73" t="n"/>
      <c r="BQ4" s="73" t="n"/>
      <c r="BR4" s="73" t="n"/>
      <c r="BS4" s="73" t="n"/>
      <c r="BT4" s="73" t="n"/>
      <c r="BU4" s="73" t="n"/>
      <c r="BV4" s="73" t="n"/>
      <c r="BW4" s="73" t="n"/>
      <c r="BX4" s="73" t="n"/>
      <c r="BY4" s="73" t="n"/>
      <c r="BZ4" s="73" t="n"/>
      <c r="CA4" s="73" t="n"/>
      <c r="CB4" s="73" t="n"/>
      <c r="CC4" s="73" t="n"/>
      <c r="CD4" s="73" t="n"/>
      <c r="CE4" s="73" t="n"/>
      <c r="CF4" s="73" t="n"/>
      <c r="CG4" s="73" t="n"/>
      <c r="CH4" s="73" t="n"/>
      <c r="CI4" s="73" t="n"/>
      <c r="CJ4" s="73" t="n"/>
      <c r="CK4" s="73" t="n"/>
      <c r="CL4" s="73" t="n"/>
      <c r="CM4" s="73" t="n"/>
      <c r="CN4" s="73" t="n"/>
      <c r="CO4" s="73" t="n"/>
      <c r="CP4" s="73" t="n"/>
      <c r="CQ4" s="73" t="n"/>
      <c r="CR4" s="73" t="n"/>
      <c r="CS4" s="73" t="n"/>
      <c r="CT4" s="73" t="n"/>
      <c r="CU4" s="73" t="n"/>
      <c r="CV4" s="73" t="n"/>
      <c r="CW4" s="73" t="n"/>
      <c r="CX4" s="73" t="n"/>
      <c r="CY4" s="73" t="n"/>
      <c r="CZ4" s="73" t="n"/>
      <c r="DA4" s="73" t="n"/>
      <c r="DB4" s="73" t="n"/>
      <c r="DC4" s="73" t="n"/>
      <c r="DD4" s="73" t="n"/>
      <c r="DE4" s="73" t="n"/>
      <c r="DF4" s="73" t="n"/>
      <c r="DG4" s="73" t="n"/>
      <c r="DH4" s="73" t="n"/>
      <c r="DI4" s="73" t="n"/>
      <c r="DJ4" s="73" t="n"/>
      <c r="DK4" s="73" t="n"/>
      <c r="DL4" s="73" t="n"/>
      <c r="DM4" s="73" t="n"/>
      <c r="DN4" s="73" t="n"/>
      <c r="DO4" s="73" t="n"/>
      <c r="DP4" s="73" t="n"/>
      <c r="DQ4" s="73" t="n"/>
      <c r="DR4" s="73" t="n"/>
      <c r="DS4" s="73" t="n"/>
      <c r="DT4" s="73" t="n"/>
      <c r="DU4" s="73" t="n"/>
      <c r="DV4" s="73" t="n"/>
      <c r="DW4" s="73" t="n"/>
      <c r="DX4" s="73" t="n"/>
      <c r="DY4" s="73" t="n"/>
      <c r="DZ4" s="73" t="n"/>
      <c r="EA4" s="73" t="n"/>
      <c r="EB4" s="73" t="n"/>
      <c r="EC4" s="73" t="n"/>
      <c r="ED4" s="73" t="n"/>
      <c r="EE4" s="73" t="n"/>
      <c r="EF4" s="73" t="n"/>
      <c r="EG4" s="73" t="n"/>
      <c r="EH4" s="73" t="n"/>
      <c r="EI4" s="73" t="n"/>
      <c r="EJ4" s="73" t="n"/>
      <c r="EK4" s="73" t="n"/>
      <c r="EL4" s="73" t="n"/>
      <c r="EM4" s="73" t="n"/>
      <c r="EN4" s="73" t="n"/>
      <c r="EO4" s="73" t="n"/>
      <c r="EP4" s="73" t="n"/>
      <c r="EQ4" s="73" t="n"/>
      <c r="ER4" s="73" t="n"/>
      <c r="ES4" s="73" t="n"/>
      <c r="ET4" s="73" t="n"/>
      <c r="EU4" s="73" t="n"/>
      <c r="EV4" s="73" t="n"/>
      <c r="EW4" s="73" t="n"/>
      <c r="EX4" s="73" t="n"/>
      <c r="EY4" s="73" t="n"/>
      <c r="EZ4" s="73" t="n"/>
      <c r="FA4" s="73" t="n"/>
      <c r="FB4" s="73" t="n"/>
      <c r="FC4" s="73" t="n"/>
      <c r="FD4" s="73" t="n"/>
      <c r="FE4" s="73" t="n"/>
      <c r="FF4" s="73" t="n"/>
      <c r="FG4" s="73" t="n"/>
      <c r="FH4" s="73" t="n"/>
      <c r="FI4" s="73" t="n"/>
      <c r="FJ4" s="73" t="n"/>
      <c r="FK4" s="73" t="n"/>
      <c r="FL4" s="73" t="n"/>
      <c r="FM4" s="73" t="n"/>
      <c r="FN4" s="73" t="n"/>
      <c r="FO4" s="73" t="n"/>
      <c r="FP4" s="73" t="n"/>
      <c r="FQ4" s="73" t="n"/>
      <c r="FR4" s="73" t="n"/>
      <c r="FS4" s="73" t="n"/>
      <c r="FT4" s="73" t="n"/>
      <c r="FU4" s="73" t="n"/>
      <c r="FV4" s="73" t="n"/>
      <c r="FW4" s="73" t="n"/>
      <c r="FX4" s="73" t="n"/>
      <c r="FY4" s="73" t="n"/>
      <c r="FZ4" s="73" t="n"/>
      <c r="GA4" s="73" t="n"/>
      <c r="GB4" s="73" t="n"/>
      <c r="GC4" s="73" t="n"/>
      <c r="GD4" s="73" t="n"/>
      <c r="GE4" s="73" t="n"/>
      <c r="GF4" s="73" t="n"/>
      <c r="GG4" s="73" t="n"/>
      <c r="GH4" s="73" t="n"/>
      <c r="GI4" s="73" t="n"/>
      <c r="GJ4" s="73" t="n"/>
      <c r="GK4" s="73" t="n"/>
      <c r="GL4" s="73" t="n"/>
      <c r="GM4" s="73" t="n"/>
      <c r="GN4" s="73" t="n"/>
      <c r="GO4" s="73" t="n"/>
      <c r="GP4" s="73" t="n"/>
      <c r="GQ4" s="73" t="n"/>
      <c r="GR4" s="73" t="n"/>
      <c r="GS4" s="73" t="n"/>
      <c r="GT4" s="73" t="n"/>
      <c r="GU4" s="73" t="n"/>
      <c r="GV4" s="73" t="n"/>
      <c r="GW4" s="73" t="n"/>
      <c r="GX4" s="73" t="n"/>
      <c r="GY4" s="73" t="n"/>
      <c r="GZ4" s="73" t="n"/>
      <c r="HA4" s="73" t="n"/>
      <c r="HB4" s="73" t="n"/>
      <c r="HC4" s="73" t="n"/>
      <c r="HD4" s="73" t="n"/>
      <c r="HE4" s="73" t="n"/>
      <c r="HF4" s="73" t="n"/>
      <c r="HG4" s="73" t="n"/>
      <c r="HH4" s="73" t="n"/>
      <c r="HI4" s="73" t="n"/>
      <c r="HJ4" s="73" t="n"/>
      <c r="HK4" s="73" t="n"/>
      <c r="HL4" s="73" t="n"/>
      <c r="HM4" s="73" t="n"/>
      <c r="HN4" s="73" t="n"/>
      <c r="HO4" s="73" t="n"/>
      <c r="HP4" s="73" t="n"/>
      <c r="HQ4" s="73" t="n"/>
      <c r="HR4" s="73" t="n"/>
      <c r="HS4" s="73" t="n"/>
      <c r="HT4" s="73" t="n"/>
      <c r="HU4" s="73" t="n"/>
      <c r="HV4" s="73" t="n"/>
      <c r="HW4" s="73" t="n"/>
      <c r="HX4" s="73" t="n"/>
      <c r="HY4" s="73" t="n"/>
      <c r="HZ4" s="73" t="n"/>
      <c r="IA4" s="73" t="n"/>
      <c r="IB4" s="73" t="n"/>
      <c r="IC4" s="73" t="n"/>
      <c r="ID4" s="73" t="n"/>
      <c r="IE4" s="73" t="n"/>
      <c r="IF4" s="73" t="n"/>
      <c r="IG4" s="73" t="n"/>
      <c r="IH4" s="73" t="n"/>
      <c r="II4" s="73" t="n"/>
      <c r="IJ4" s="73" t="n"/>
      <c r="IK4" s="73" t="n"/>
      <c r="IL4" s="73" t="n"/>
      <c r="IM4" s="73" t="n"/>
      <c r="IN4" s="73" t="n"/>
      <c r="IO4" s="73" t="n"/>
      <c r="IP4" s="73" t="n"/>
      <c r="IQ4" s="73" t="n"/>
      <c r="IR4" s="73" t="n"/>
      <c r="IS4" s="73" t="n"/>
      <c r="IT4" s="73" t="n"/>
      <c r="IU4" s="73" t="n"/>
      <c r="IV4" s="73" t="n"/>
      <c r="IW4" s="73" t="n"/>
    </row>
    <row r="5" ht="13.5" customHeight="1" s="72">
      <c r="A5" s="73" t="n"/>
      <c r="G5" s="81" t="n"/>
      <c r="H5" s="73" t="n"/>
      <c r="I5" s="82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  <c r="AA5" s="73" t="n"/>
      <c r="AB5" s="73" t="n"/>
      <c r="AC5" s="73" t="n"/>
      <c r="AD5" s="73" t="n"/>
      <c r="AE5" s="73" t="n"/>
      <c r="AF5" s="73" t="n"/>
      <c r="AG5" s="73" t="n"/>
      <c r="AH5" s="73" t="n"/>
      <c r="AI5" s="73" t="n"/>
      <c r="AJ5" s="73" t="n"/>
      <c r="AK5" s="73" t="n"/>
      <c r="AL5" s="73" t="n"/>
      <c r="AM5" s="73" t="n"/>
      <c r="AN5" s="73" t="n"/>
      <c r="AO5" s="73" t="n"/>
      <c r="AP5" s="73" t="n"/>
      <c r="AQ5" s="73" t="n"/>
      <c r="AR5" s="73" t="n"/>
      <c r="AS5" s="73" t="n"/>
      <c r="AT5" s="73" t="n"/>
      <c r="AU5" s="73" t="n"/>
      <c r="AV5" s="73" t="n"/>
      <c r="AW5" s="73" t="n"/>
      <c r="AX5" s="73" t="n"/>
      <c r="AY5" s="73" t="n"/>
      <c r="AZ5" s="73" t="n"/>
      <c r="BA5" s="73" t="n"/>
      <c r="BB5" s="73" t="n"/>
      <c r="BC5" s="73" t="n"/>
      <c r="BD5" s="73" t="n"/>
      <c r="BE5" s="73" t="n"/>
      <c r="BF5" s="73" t="n"/>
      <c r="BG5" s="73" t="n"/>
      <c r="BH5" s="73" t="n"/>
      <c r="BI5" s="73" t="n"/>
      <c r="BJ5" s="73" t="n"/>
      <c r="BK5" s="73" t="n"/>
      <c r="BL5" s="73" t="n"/>
      <c r="BM5" s="73" t="n"/>
      <c r="BN5" s="73" t="n"/>
      <c r="BO5" s="73" t="n"/>
      <c r="BP5" s="73" t="n"/>
      <c r="BQ5" s="73" t="n"/>
      <c r="BR5" s="73" t="n"/>
      <c r="BS5" s="73" t="n"/>
      <c r="BT5" s="73" t="n"/>
      <c r="BU5" s="73" t="n"/>
      <c r="BV5" s="73" t="n"/>
      <c r="BW5" s="73" t="n"/>
      <c r="BX5" s="73" t="n"/>
      <c r="BY5" s="73" t="n"/>
      <c r="BZ5" s="73" t="n"/>
      <c r="CA5" s="73" t="n"/>
      <c r="CB5" s="73" t="n"/>
      <c r="CC5" s="73" t="n"/>
      <c r="CD5" s="73" t="n"/>
      <c r="CE5" s="73" t="n"/>
      <c r="CF5" s="73" t="n"/>
      <c r="CG5" s="73" t="n"/>
      <c r="CH5" s="73" t="n"/>
      <c r="CI5" s="73" t="n"/>
      <c r="CJ5" s="73" t="n"/>
      <c r="CK5" s="73" t="n"/>
      <c r="CL5" s="73" t="n"/>
      <c r="CM5" s="73" t="n"/>
      <c r="CN5" s="73" t="n"/>
      <c r="CO5" s="73" t="n"/>
      <c r="CP5" s="73" t="n"/>
      <c r="CQ5" s="73" t="n"/>
      <c r="CR5" s="73" t="n"/>
      <c r="CS5" s="73" t="n"/>
      <c r="CT5" s="73" t="n"/>
      <c r="CU5" s="73" t="n"/>
      <c r="CV5" s="73" t="n"/>
      <c r="CW5" s="73" t="n"/>
      <c r="CX5" s="73" t="n"/>
      <c r="CY5" s="73" t="n"/>
      <c r="CZ5" s="73" t="n"/>
      <c r="DA5" s="73" t="n"/>
      <c r="DB5" s="73" t="n"/>
      <c r="DC5" s="73" t="n"/>
      <c r="DD5" s="73" t="n"/>
      <c r="DE5" s="73" t="n"/>
      <c r="DF5" s="73" t="n"/>
      <c r="DG5" s="73" t="n"/>
      <c r="DH5" s="73" t="n"/>
      <c r="DI5" s="73" t="n"/>
      <c r="DJ5" s="73" t="n"/>
      <c r="DK5" s="73" t="n"/>
      <c r="DL5" s="73" t="n"/>
      <c r="DM5" s="73" t="n"/>
      <c r="DN5" s="73" t="n"/>
      <c r="DO5" s="73" t="n"/>
      <c r="DP5" s="73" t="n"/>
      <c r="DQ5" s="73" t="n"/>
      <c r="DR5" s="73" t="n"/>
      <c r="DS5" s="73" t="n"/>
      <c r="DT5" s="73" t="n"/>
      <c r="DU5" s="73" t="n"/>
      <c r="DV5" s="73" t="n"/>
      <c r="DW5" s="73" t="n"/>
      <c r="DX5" s="73" t="n"/>
      <c r="DY5" s="73" t="n"/>
      <c r="DZ5" s="73" t="n"/>
      <c r="EA5" s="73" t="n"/>
      <c r="EB5" s="73" t="n"/>
      <c r="EC5" s="73" t="n"/>
      <c r="ED5" s="73" t="n"/>
      <c r="EE5" s="73" t="n"/>
      <c r="EF5" s="73" t="n"/>
      <c r="EG5" s="73" t="n"/>
      <c r="EH5" s="73" t="n"/>
      <c r="EI5" s="73" t="n"/>
      <c r="EJ5" s="73" t="n"/>
      <c r="EK5" s="73" t="n"/>
      <c r="EL5" s="73" t="n"/>
      <c r="EM5" s="73" t="n"/>
      <c r="EN5" s="73" t="n"/>
      <c r="EO5" s="73" t="n"/>
      <c r="EP5" s="73" t="n"/>
      <c r="EQ5" s="73" t="n"/>
      <c r="ER5" s="73" t="n"/>
      <c r="ES5" s="73" t="n"/>
      <c r="ET5" s="73" t="n"/>
      <c r="EU5" s="73" t="n"/>
      <c r="EV5" s="73" t="n"/>
      <c r="EW5" s="73" t="n"/>
      <c r="EX5" s="73" t="n"/>
      <c r="EY5" s="73" t="n"/>
      <c r="EZ5" s="73" t="n"/>
      <c r="FA5" s="73" t="n"/>
      <c r="FB5" s="73" t="n"/>
      <c r="FC5" s="73" t="n"/>
      <c r="FD5" s="73" t="n"/>
      <c r="FE5" s="73" t="n"/>
      <c r="FF5" s="73" t="n"/>
      <c r="FG5" s="73" t="n"/>
      <c r="FH5" s="73" t="n"/>
      <c r="FI5" s="73" t="n"/>
      <c r="FJ5" s="73" t="n"/>
      <c r="FK5" s="73" t="n"/>
      <c r="FL5" s="73" t="n"/>
      <c r="FM5" s="73" t="n"/>
      <c r="FN5" s="73" t="n"/>
      <c r="FO5" s="73" t="n"/>
      <c r="FP5" s="73" t="n"/>
      <c r="FQ5" s="73" t="n"/>
      <c r="FR5" s="73" t="n"/>
      <c r="FS5" s="73" t="n"/>
      <c r="FT5" s="73" t="n"/>
      <c r="FU5" s="73" t="n"/>
      <c r="FV5" s="73" t="n"/>
      <c r="FW5" s="73" t="n"/>
      <c r="FX5" s="73" t="n"/>
      <c r="FY5" s="73" t="n"/>
      <c r="FZ5" s="73" t="n"/>
      <c r="GA5" s="73" t="n"/>
      <c r="GB5" s="73" t="n"/>
      <c r="GC5" s="73" t="n"/>
      <c r="GD5" s="73" t="n"/>
      <c r="GE5" s="73" t="n"/>
      <c r="GF5" s="73" t="n"/>
      <c r="GG5" s="73" t="n"/>
      <c r="GH5" s="73" t="n"/>
      <c r="GI5" s="73" t="n"/>
      <c r="GJ5" s="73" t="n"/>
      <c r="GK5" s="73" t="n"/>
      <c r="GL5" s="73" t="n"/>
      <c r="GM5" s="73" t="n"/>
      <c r="GN5" s="73" t="n"/>
      <c r="GO5" s="73" t="n"/>
      <c r="GP5" s="73" t="n"/>
      <c r="GQ5" s="73" t="n"/>
      <c r="GR5" s="73" t="n"/>
      <c r="GS5" s="73" t="n"/>
      <c r="GT5" s="73" t="n"/>
      <c r="GU5" s="73" t="n"/>
      <c r="GV5" s="73" t="n"/>
      <c r="GW5" s="73" t="n"/>
      <c r="GX5" s="73" t="n"/>
      <c r="GY5" s="73" t="n"/>
      <c r="GZ5" s="73" t="n"/>
      <c r="HA5" s="73" t="n"/>
      <c r="HB5" s="73" t="n"/>
      <c r="HC5" s="73" t="n"/>
      <c r="HD5" s="73" t="n"/>
      <c r="HE5" s="73" t="n"/>
      <c r="HF5" s="73" t="n"/>
      <c r="HG5" s="73" t="n"/>
      <c r="HH5" s="73" t="n"/>
      <c r="HI5" s="73" t="n"/>
      <c r="HJ5" s="73" t="n"/>
      <c r="HK5" s="73" t="n"/>
      <c r="HL5" s="73" t="n"/>
      <c r="HM5" s="73" t="n"/>
      <c r="HN5" s="73" t="n"/>
      <c r="HO5" s="73" t="n"/>
      <c r="HP5" s="73" t="n"/>
      <c r="HQ5" s="73" t="n"/>
      <c r="HR5" s="73" t="n"/>
      <c r="HS5" s="73" t="n"/>
      <c r="HT5" s="73" t="n"/>
      <c r="HU5" s="73" t="n"/>
      <c r="HV5" s="73" t="n"/>
      <c r="HW5" s="73" t="n"/>
      <c r="HX5" s="73" t="n"/>
      <c r="HY5" s="73" t="n"/>
      <c r="HZ5" s="73" t="n"/>
      <c r="IA5" s="73" t="n"/>
      <c r="IB5" s="73" t="n"/>
      <c r="IC5" s="73" t="n"/>
      <c r="ID5" s="73" t="n"/>
      <c r="IE5" s="73" t="n"/>
      <c r="IF5" s="73" t="n"/>
      <c r="IG5" s="73" t="n"/>
      <c r="IH5" s="73" t="n"/>
      <c r="II5" s="73" t="n"/>
      <c r="IJ5" s="73" t="n"/>
      <c r="IK5" s="73" t="n"/>
      <c r="IL5" s="73" t="n"/>
      <c r="IM5" s="73" t="n"/>
      <c r="IN5" s="73" t="n"/>
      <c r="IO5" s="73" t="n"/>
      <c r="IP5" s="73" t="n"/>
      <c r="IQ5" s="73" t="n"/>
      <c r="IR5" s="73" t="n"/>
      <c r="IS5" s="73" t="n"/>
      <c r="IT5" s="73" t="n"/>
      <c r="IU5" s="73" t="n"/>
      <c r="IV5" s="73" t="n"/>
      <c r="IW5" s="73" t="n"/>
    </row>
    <row r="6" ht="23.25" customHeight="1" s="72">
      <c r="A6" s="83" t="n"/>
      <c r="B6" s="84" t="inlineStr">
        <is>
          <t>견  적   명 : (과업명)</t>
        </is>
      </c>
      <c r="C6" s="83" t="n"/>
      <c r="D6" s="83" t="n"/>
      <c r="E6" s="83" t="n"/>
      <c r="F6" s="83" t="n"/>
      <c r="G6" s="85" t="n"/>
      <c r="H6" s="86" t="inlineStr">
        <is>
          <t>주식회사 씨커스(Seekers Inc.)</t>
        </is>
      </c>
      <c r="I6" s="83" t="n"/>
      <c r="J6" s="83" t="n"/>
      <c r="K6" s="73" t="n"/>
      <c r="L6" s="73" t="n"/>
      <c r="M6" s="73" t="n"/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73" t="n"/>
      <c r="Y6" s="73" t="n"/>
      <c r="Z6" s="73" t="n"/>
      <c r="AA6" s="73" t="n"/>
      <c r="AB6" s="73" t="n"/>
      <c r="AC6" s="73" t="n"/>
      <c r="AD6" s="73" t="n"/>
      <c r="AE6" s="73" t="n"/>
      <c r="AF6" s="73" t="n"/>
      <c r="AG6" s="73" t="n"/>
      <c r="AH6" s="73" t="n"/>
      <c r="AI6" s="73" t="n"/>
      <c r="AJ6" s="73" t="n"/>
      <c r="AK6" s="73" t="n"/>
      <c r="AL6" s="73" t="n"/>
      <c r="AM6" s="73" t="n"/>
      <c r="AN6" s="73" t="n"/>
      <c r="AO6" s="73" t="n"/>
      <c r="AP6" s="73" t="n"/>
      <c r="AQ6" s="73" t="n"/>
      <c r="AR6" s="73" t="n"/>
      <c r="AS6" s="73" t="n"/>
      <c r="AT6" s="73" t="n"/>
      <c r="AU6" s="73" t="n"/>
      <c r="AV6" s="73" t="n"/>
      <c r="AW6" s="73" t="n"/>
      <c r="AX6" s="73" t="n"/>
      <c r="AY6" s="73" t="n"/>
      <c r="AZ6" s="73" t="n"/>
      <c r="BA6" s="73" t="n"/>
      <c r="BB6" s="73" t="n"/>
      <c r="BC6" s="73" t="n"/>
      <c r="BD6" s="73" t="n"/>
      <c r="BE6" s="73" t="n"/>
      <c r="BF6" s="73" t="n"/>
      <c r="BG6" s="73" t="n"/>
      <c r="BH6" s="73" t="n"/>
      <c r="BI6" s="73" t="n"/>
      <c r="BJ6" s="73" t="n"/>
      <c r="BK6" s="73" t="n"/>
      <c r="BL6" s="73" t="n"/>
      <c r="BM6" s="73" t="n"/>
      <c r="BN6" s="73" t="n"/>
      <c r="BO6" s="73" t="n"/>
      <c r="BP6" s="73" t="n"/>
      <c r="BQ6" s="73" t="n"/>
      <c r="BR6" s="73" t="n"/>
      <c r="BS6" s="73" t="n"/>
      <c r="BT6" s="73" t="n"/>
      <c r="BU6" s="73" t="n"/>
      <c r="BV6" s="73" t="n"/>
      <c r="BW6" s="73" t="n"/>
      <c r="BX6" s="73" t="n"/>
      <c r="BY6" s="73" t="n"/>
      <c r="BZ6" s="73" t="n"/>
      <c r="CA6" s="73" t="n"/>
      <c r="CB6" s="73" t="n"/>
      <c r="CC6" s="73" t="n"/>
      <c r="CD6" s="73" t="n"/>
      <c r="CE6" s="73" t="n"/>
      <c r="CF6" s="73" t="n"/>
      <c r="CG6" s="73" t="n"/>
      <c r="CH6" s="73" t="n"/>
      <c r="CI6" s="73" t="n"/>
      <c r="CJ6" s="73" t="n"/>
      <c r="CK6" s="73" t="n"/>
      <c r="CL6" s="73" t="n"/>
      <c r="CM6" s="73" t="n"/>
      <c r="CN6" s="73" t="n"/>
      <c r="CO6" s="73" t="n"/>
      <c r="CP6" s="73" t="n"/>
      <c r="CQ6" s="73" t="n"/>
      <c r="CR6" s="73" t="n"/>
      <c r="CS6" s="73" t="n"/>
      <c r="CT6" s="73" t="n"/>
      <c r="CU6" s="73" t="n"/>
      <c r="CV6" s="73" t="n"/>
      <c r="CW6" s="73" t="n"/>
      <c r="CX6" s="73" t="n"/>
      <c r="CY6" s="73" t="n"/>
      <c r="CZ6" s="73" t="n"/>
      <c r="DA6" s="73" t="n"/>
      <c r="DB6" s="73" t="n"/>
      <c r="DC6" s="73" t="n"/>
      <c r="DD6" s="73" t="n"/>
      <c r="DE6" s="73" t="n"/>
      <c r="DF6" s="73" t="n"/>
      <c r="DG6" s="73" t="n"/>
      <c r="DH6" s="73" t="n"/>
      <c r="DI6" s="73" t="n"/>
      <c r="DJ6" s="73" t="n"/>
      <c r="DK6" s="73" t="n"/>
      <c r="DL6" s="73" t="n"/>
      <c r="DM6" s="73" t="n"/>
      <c r="DN6" s="73" t="n"/>
      <c r="DO6" s="73" t="n"/>
      <c r="DP6" s="73" t="n"/>
      <c r="DQ6" s="73" t="n"/>
      <c r="DR6" s="73" t="n"/>
      <c r="DS6" s="73" t="n"/>
      <c r="DT6" s="73" t="n"/>
      <c r="DU6" s="73" t="n"/>
      <c r="DV6" s="73" t="n"/>
      <c r="DW6" s="73" t="n"/>
      <c r="DX6" s="73" t="n"/>
      <c r="DY6" s="73" t="n"/>
      <c r="DZ6" s="73" t="n"/>
      <c r="EA6" s="73" t="n"/>
      <c r="EB6" s="73" t="n"/>
      <c r="EC6" s="73" t="n"/>
      <c r="ED6" s="73" t="n"/>
      <c r="EE6" s="73" t="n"/>
      <c r="EF6" s="73" t="n"/>
      <c r="EG6" s="73" t="n"/>
      <c r="EH6" s="73" t="n"/>
      <c r="EI6" s="73" t="n"/>
      <c r="EJ6" s="73" t="n"/>
      <c r="EK6" s="73" t="n"/>
      <c r="EL6" s="73" t="n"/>
      <c r="EM6" s="73" t="n"/>
      <c r="EN6" s="73" t="n"/>
      <c r="EO6" s="73" t="n"/>
      <c r="EP6" s="73" t="n"/>
      <c r="EQ6" s="73" t="n"/>
      <c r="ER6" s="73" t="n"/>
      <c r="ES6" s="73" t="n"/>
      <c r="ET6" s="73" t="n"/>
      <c r="EU6" s="73" t="n"/>
      <c r="EV6" s="73" t="n"/>
      <c r="EW6" s="73" t="n"/>
      <c r="EX6" s="73" t="n"/>
      <c r="EY6" s="73" t="n"/>
      <c r="EZ6" s="73" t="n"/>
      <c r="FA6" s="73" t="n"/>
      <c r="FB6" s="73" t="n"/>
      <c r="FC6" s="73" t="n"/>
      <c r="FD6" s="73" t="n"/>
      <c r="FE6" s="73" t="n"/>
      <c r="FF6" s="73" t="n"/>
      <c r="FG6" s="73" t="n"/>
      <c r="FH6" s="73" t="n"/>
      <c r="FI6" s="73" t="n"/>
      <c r="FJ6" s="73" t="n"/>
      <c r="FK6" s="73" t="n"/>
      <c r="FL6" s="73" t="n"/>
      <c r="FM6" s="73" t="n"/>
      <c r="FN6" s="73" t="n"/>
      <c r="FO6" s="73" t="n"/>
      <c r="FP6" s="73" t="n"/>
      <c r="FQ6" s="73" t="n"/>
      <c r="FR6" s="73" t="n"/>
      <c r="FS6" s="73" t="n"/>
      <c r="FT6" s="73" t="n"/>
      <c r="FU6" s="73" t="n"/>
      <c r="FV6" s="73" t="n"/>
      <c r="FW6" s="73" t="n"/>
      <c r="FX6" s="73" t="n"/>
      <c r="FY6" s="73" t="n"/>
      <c r="FZ6" s="73" t="n"/>
      <c r="GA6" s="73" t="n"/>
      <c r="GB6" s="73" t="n"/>
      <c r="GC6" s="73" t="n"/>
      <c r="GD6" s="73" t="n"/>
      <c r="GE6" s="73" t="n"/>
      <c r="GF6" s="73" t="n"/>
      <c r="GG6" s="73" t="n"/>
      <c r="GH6" s="73" t="n"/>
      <c r="GI6" s="73" t="n"/>
      <c r="GJ6" s="73" t="n"/>
      <c r="GK6" s="73" t="n"/>
      <c r="GL6" s="73" t="n"/>
      <c r="GM6" s="73" t="n"/>
      <c r="GN6" s="73" t="n"/>
      <c r="GO6" s="73" t="n"/>
      <c r="GP6" s="73" t="n"/>
      <c r="GQ6" s="73" t="n"/>
      <c r="GR6" s="73" t="n"/>
      <c r="GS6" s="73" t="n"/>
      <c r="GT6" s="73" t="n"/>
      <c r="GU6" s="73" t="n"/>
      <c r="GV6" s="73" t="n"/>
      <c r="GW6" s="73" t="n"/>
      <c r="GX6" s="73" t="n"/>
      <c r="GY6" s="73" t="n"/>
      <c r="GZ6" s="73" t="n"/>
      <c r="HA6" s="73" t="n"/>
      <c r="HB6" s="73" t="n"/>
      <c r="HC6" s="73" t="n"/>
      <c r="HD6" s="73" t="n"/>
      <c r="HE6" s="73" t="n"/>
      <c r="HF6" s="73" t="n"/>
      <c r="HG6" s="73" t="n"/>
      <c r="HH6" s="73" t="n"/>
      <c r="HI6" s="73" t="n"/>
      <c r="HJ6" s="73" t="n"/>
      <c r="HK6" s="73" t="n"/>
      <c r="HL6" s="73" t="n"/>
      <c r="HM6" s="73" t="n"/>
      <c r="HN6" s="73" t="n"/>
      <c r="HO6" s="73" t="n"/>
      <c r="HP6" s="73" t="n"/>
      <c r="HQ6" s="73" t="n"/>
      <c r="HR6" s="73" t="n"/>
      <c r="HS6" s="73" t="n"/>
      <c r="HT6" s="73" t="n"/>
      <c r="HU6" s="73" t="n"/>
      <c r="HV6" s="73" t="n"/>
      <c r="HW6" s="73" t="n"/>
      <c r="HX6" s="73" t="n"/>
      <c r="HY6" s="73" t="n"/>
      <c r="HZ6" s="73" t="n"/>
      <c r="IA6" s="73" t="n"/>
      <c r="IB6" s="73" t="n"/>
      <c r="IC6" s="73" t="n"/>
      <c r="ID6" s="73" t="n"/>
      <c r="IE6" s="73" t="n"/>
      <c r="IF6" s="73" t="n"/>
      <c r="IG6" s="73" t="n"/>
      <c r="IH6" s="73" t="n"/>
      <c r="II6" s="73" t="n"/>
      <c r="IJ6" s="73" t="n"/>
      <c r="IK6" s="73" t="n"/>
      <c r="IL6" s="73" t="n"/>
      <c r="IM6" s="73" t="n"/>
      <c r="IN6" s="73" t="n"/>
      <c r="IO6" s="73" t="n"/>
      <c r="IP6" s="73" t="n"/>
      <c r="IQ6" s="73" t="n"/>
      <c r="IR6" s="73" t="n"/>
      <c r="IS6" s="73" t="n"/>
      <c r="IT6" s="73" t="n"/>
      <c r="IU6" s="73" t="n"/>
      <c r="IV6" s="73" t="n"/>
      <c r="IW6" s="73" t="n"/>
    </row>
    <row r="7" ht="14.25" customHeight="1" s="72">
      <c r="A7" s="83" t="n"/>
      <c r="B7" s="83" t="inlineStr">
        <is>
          <t xml:space="preserve">참       조 : </t>
        </is>
      </c>
      <c r="C7" s="83" t="n"/>
      <c r="D7" s="83" t="n"/>
      <c r="E7" s="83" t="n"/>
      <c r="F7" s="83" t="n"/>
      <c r="G7" s="83" t="n"/>
      <c r="H7" s="83" t="inlineStr">
        <is>
          <t>대 표 이 사 : 최  경  호 (직인생략)</t>
        </is>
      </c>
      <c r="I7" s="83" t="n"/>
      <c r="J7" s="83" t="n"/>
      <c r="K7" s="73" t="n"/>
      <c r="L7" s="73" t="n"/>
      <c r="M7" s="73" t="n"/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73" t="n"/>
      <c r="Y7" s="73" t="n"/>
      <c r="Z7" s="73" t="n"/>
      <c r="AA7" s="73" t="n"/>
      <c r="AB7" s="73" t="n"/>
      <c r="AC7" s="73" t="n"/>
      <c r="AD7" s="73" t="n"/>
      <c r="AE7" s="73" t="n"/>
      <c r="AF7" s="73" t="n"/>
      <c r="AG7" s="73" t="n"/>
      <c r="AH7" s="73" t="n"/>
      <c r="AI7" s="73" t="n"/>
      <c r="AJ7" s="73" t="n"/>
      <c r="AK7" s="73" t="n"/>
      <c r="AL7" s="73" t="n"/>
      <c r="AM7" s="73" t="n"/>
      <c r="AN7" s="73" t="n"/>
      <c r="AO7" s="73" t="n"/>
      <c r="AP7" s="73" t="n"/>
      <c r="AQ7" s="73" t="n"/>
      <c r="AR7" s="73" t="n"/>
      <c r="AS7" s="73" t="n"/>
      <c r="AT7" s="73" t="n"/>
      <c r="AU7" s="73" t="n"/>
      <c r="AV7" s="73" t="n"/>
      <c r="AW7" s="73" t="n"/>
      <c r="AX7" s="73" t="n"/>
      <c r="AY7" s="73" t="n"/>
      <c r="AZ7" s="73" t="n"/>
      <c r="BA7" s="73" t="n"/>
      <c r="BB7" s="73" t="n"/>
      <c r="BC7" s="73" t="n"/>
      <c r="BD7" s="73" t="n"/>
      <c r="BE7" s="73" t="n"/>
      <c r="BF7" s="73" t="n"/>
      <c r="BG7" s="73" t="n"/>
      <c r="BH7" s="73" t="n"/>
      <c r="BI7" s="73" t="n"/>
      <c r="BJ7" s="73" t="n"/>
      <c r="BK7" s="73" t="n"/>
      <c r="BL7" s="73" t="n"/>
      <c r="BM7" s="73" t="n"/>
      <c r="BN7" s="73" t="n"/>
      <c r="BO7" s="73" t="n"/>
      <c r="BP7" s="73" t="n"/>
      <c r="BQ7" s="73" t="n"/>
      <c r="BR7" s="73" t="n"/>
      <c r="BS7" s="73" t="n"/>
      <c r="BT7" s="73" t="n"/>
      <c r="BU7" s="73" t="n"/>
      <c r="BV7" s="73" t="n"/>
      <c r="BW7" s="73" t="n"/>
      <c r="BX7" s="73" t="n"/>
      <c r="BY7" s="73" t="n"/>
      <c r="BZ7" s="73" t="n"/>
      <c r="CA7" s="73" t="n"/>
      <c r="CB7" s="73" t="n"/>
      <c r="CC7" s="73" t="n"/>
      <c r="CD7" s="73" t="n"/>
      <c r="CE7" s="73" t="n"/>
      <c r="CF7" s="73" t="n"/>
      <c r="CG7" s="73" t="n"/>
      <c r="CH7" s="73" t="n"/>
      <c r="CI7" s="73" t="n"/>
      <c r="CJ7" s="73" t="n"/>
      <c r="CK7" s="73" t="n"/>
      <c r="CL7" s="73" t="n"/>
      <c r="CM7" s="73" t="n"/>
      <c r="CN7" s="73" t="n"/>
      <c r="CO7" s="73" t="n"/>
      <c r="CP7" s="73" t="n"/>
      <c r="CQ7" s="73" t="n"/>
      <c r="CR7" s="73" t="n"/>
      <c r="CS7" s="73" t="n"/>
      <c r="CT7" s="73" t="n"/>
      <c r="CU7" s="73" t="n"/>
      <c r="CV7" s="73" t="n"/>
      <c r="CW7" s="73" t="n"/>
      <c r="CX7" s="73" t="n"/>
      <c r="CY7" s="73" t="n"/>
      <c r="CZ7" s="73" t="n"/>
      <c r="DA7" s="73" t="n"/>
      <c r="DB7" s="73" t="n"/>
      <c r="DC7" s="73" t="n"/>
      <c r="DD7" s="73" t="n"/>
      <c r="DE7" s="73" t="n"/>
      <c r="DF7" s="73" t="n"/>
      <c r="DG7" s="73" t="n"/>
      <c r="DH7" s="73" t="n"/>
      <c r="DI7" s="73" t="n"/>
      <c r="DJ7" s="73" t="n"/>
      <c r="DK7" s="73" t="n"/>
      <c r="DL7" s="73" t="n"/>
      <c r="DM7" s="73" t="n"/>
      <c r="DN7" s="73" t="n"/>
      <c r="DO7" s="73" t="n"/>
      <c r="DP7" s="73" t="n"/>
      <c r="DQ7" s="73" t="n"/>
      <c r="DR7" s="73" t="n"/>
      <c r="DS7" s="73" t="n"/>
      <c r="DT7" s="73" t="n"/>
      <c r="DU7" s="73" t="n"/>
      <c r="DV7" s="73" t="n"/>
      <c r="DW7" s="73" t="n"/>
      <c r="DX7" s="73" t="n"/>
      <c r="DY7" s="73" t="n"/>
      <c r="DZ7" s="73" t="n"/>
      <c r="EA7" s="73" t="n"/>
      <c r="EB7" s="73" t="n"/>
      <c r="EC7" s="73" t="n"/>
      <c r="ED7" s="73" t="n"/>
      <c r="EE7" s="73" t="n"/>
      <c r="EF7" s="73" t="n"/>
      <c r="EG7" s="73" t="n"/>
      <c r="EH7" s="73" t="n"/>
      <c r="EI7" s="73" t="n"/>
      <c r="EJ7" s="73" t="n"/>
      <c r="EK7" s="73" t="n"/>
      <c r="EL7" s="73" t="n"/>
      <c r="EM7" s="73" t="n"/>
      <c r="EN7" s="73" t="n"/>
      <c r="EO7" s="73" t="n"/>
      <c r="EP7" s="73" t="n"/>
      <c r="EQ7" s="73" t="n"/>
      <c r="ER7" s="73" t="n"/>
      <c r="ES7" s="73" t="n"/>
      <c r="ET7" s="73" t="n"/>
      <c r="EU7" s="73" t="n"/>
      <c r="EV7" s="73" t="n"/>
      <c r="EW7" s="73" t="n"/>
      <c r="EX7" s="73" t="n"/>
      <c r="EY7" s="73" t="n"/>
      <c r="EZ7" s="73" t="n"/>
      <c r="FA7" s="73" t="n"/>
      <c r="FB7" s="73" t="n"/>
      <c r="FC7" s="73" t="n"/>
      <c r="FD7" s="73" t="n"/>
      <c r="FE7" s="73" t="n"/>
      <c r="FF7" s="73" t="n"/>
      <c r="FG7" s="73" t="n"/>
      <c r="FH7" s="73" t="n"/>
      <c r="FI7" s="73" t="n"/>
      <c r="FJ7" s="73" t="n"/>
      <c r="FK7" s="73" t="n"/>
      <c r="FL7" s="73" t="n"/>
      <c r="FM7" s="73" t="n"/>
      <c r="FN7" s="73" t="n"/>
      <c r="FO7" s="73" t="n"/>
      <c r="FP7" s="73" t="n"/>
      <c r="FQ7" s="73" t="n"/>
      <c r="FR7" s="73" t="n"/>
      <c r="FS7" s="73" t="n"/>
      <c r="FT7" s="73" t="n"/>
      <c r="FU7" s="73" t="n"/>
      <c r="FV7" s="73" t="n"/>
      <c r="FW7" s="73" t="n"/>
      <c r="FX7" s="73" t="n"/>
      <c r="FY7" s="73" t="n"/>
      <c r="FZ7" s="73" t="n"/>
      <c r="GA7" s="73" t="n"/>
      <c r="GB7" s="73" t="n"/>
      <c r="GC7" s="73" t="n"/>
      <c r="GD7" s="73" t="n"/>
      <c r="GE7" s="73" t="n"/>
      <c r="GF7" s="73" t="n"/>
      <c r="GG7" s="73" t="n"/>
      <c r="GH7" s="73" t="n"/>
      <c r="GI7" s="73" t="n"/>
      <c r="GJ7" s="73" t="n"/>
      <c r="GK7" s="73" t="n"/>
      <c r="GL7" s="73" t="n"/>
      <c r="GM7" s="73" t="n"/>
      <c r="GN7" s="73" t="n"/>
      <c r="GO7" s="73" t="n"/>
      <c r="GP7" s="73" t="n"/>
      <c r="GQ7" s="73" t="n"/>
      <c r="GR7" s="73" t="n"/>
      <c r="GS7" s="73" t="n"/>
      <c r="GT7" s="73" t="n"/>
      <c r="GU7" s="73" t="n"/>
      <c r="GV7" s="73" t="n"/>
      <c r="GW7" s="73" t="n"/>
      <c r="GX7" s="73" t="n"/>
      <c r="GY7" s="73" t="n"/>
      <c r="GZ7" s="73" t="n"/>
      <c r="HA7" s="73" t="n"/>
      <c r="HB7" s="73" t="n"/>
      <c r="HC7" s="73" t="n"/>
      <c r="HD7" s="73" t="n"/>
      <c r="HE7" s="73" t="n"/>
      <c r="HF7" s="73" t="n"/>
      <c r="HG7" s="73" t="n"/>
      <c r="HH7" s="73" t="n"/>
      <c r="HI7" s="73" t="n"/>
      <c r="HJ7" s="73" t="n"/>
      <c r="HK7" s="73" t="n"/>
      <c r="HL7" s="73" t="n"/>
      <c r="HM7" s="73" t="n"/>
      <c r="HN7" s="73" t="n"/>
      <c r="HO7" s="73" t="n"/>
      <c r="HP7" s="73" t="n"/>
      <c r="HQ7" s="73" t="n"/>
      <c r="HR7" s="73" t="n"/>
      <c r="HS7" s="73" t="n"/>
      <c r="HT7" s="73" t="n"/>
      <c r="HU7" s="73" t="n"/>
      <c r="HV7" s="73" t="n"/>
      <c r="HW7" s="73" t="n"/>
      <c r="HX7" s="73" t="n"/>
      <c r="HY7" s="73" t="n"/>
      <c r="HZ7" s="73" t="n"/>
      <c r="IA7" s="73" t="n"/>
      <c r="IB7" s="73" t="n"/>
      <c r="IC7" s="73" t="n"/>
      <c r="ID7" s="73" t="n"/>
      <c r="IE7" s="73" t="n"/>
      <c r="IF7" s="73" t="n"/>
      <c r="IG7" s="73" t="n"/>
      <c r="IH7" s="73" t="n"/>
      <c r="II7" s="73" t="n"/>
      <c r="IJ7" s="73" t="n"/>
      <c r="IK7" s="73" t="n"/>
      <c r="IL7" s="73" t="n"/>
      <c r="IM7" s="73" t="n"/>
      <c r="IN7" s="73" t="n"/>
      <c r="IO7" s="73" t="n"/>
      <c r="IP7" s="73" t="n"/>
      <c r="IQ7" s="73" t="n"/>
      <c r="IR7" s="73" t="n"/>
      <c r="IS7" s="73" t="n"/>
      <c r="IT7" s="73" t="n"/>
      <c r="IU7" s="73" t="n"/>
      <c r="IV7" s="73" t="n"/>
      <c r="IW7" s="73" t="n"/>
    </row>
    <row r="8" ht="14.25" customHeight="1" s="72">
      <c r="A8" s="83" t="n"/>
      <c r="B8" s="83" t="inlineStr">
        <is>
          <t>견 적 일 자 : 20    년    월    일</t>
        </is>
      </c>
      <c r="C8" s="83" t="n"/>
      <c r="D8" s="83" t="n"/>
      <c r="E8" s="83" t="n"/>
      <c r="F8" s="87" t="n"/>
      <c r="G8" s="85" t="n"/>
      <c r="H8" s="83" t="inlineStr">
        <is>
          <t>전       화 : 02) 2039-8160</t>
        </is>
      </c>
      <c r="I8" s="83" t="n"/>
      <c r="J8" s="83" t="n"/>
      <c r="K8" s="73" t="n"/>
      <c r="L8" s="73" t="n"/>
      <c r="M8" s="73" t="n"/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73" t="n"/>
      <c r="Y8" s="73" t="n"/>
      <c r="Z8" s="73" t="n"/>
      <c r="AA8" s="73" t="n"/>
      <c r="AB8" s="73" t="n"/>
      <c r="AC8" s="73" t="n"/>
      <c r="AD8" s="73" t="n"/>
      <c r="AE8" s="73" t="n"/>
      <c r="AF8" s="73" t="n"/>
      <c r="AG8" s="73" t="n"/>
      <c r="AH8" s="73" t="n"/>
      <c r="AI8" s="73" t="n"/>
      <c r="AJ8" s="73" t="n"/>
      <c r="AK8" s="73" t="n"/>
      <c r="AL8" s="73" t="n"/>
      <c r="AM8" s="73" t="n"/>
      <c r="AN8" s="73" t="n"/>
      <c r="AO8" s="73" t="n"/>
      <c r="AP8" s="73" t="n"/>
      <c r="AQ8" s="73" t="n"/>
      <c r="AR8" s="73" t="n"/>
      <c r="AS8" s="73" t="n"/>
      <c r="AT8" s="73" t="n"/>
      <c r="AU8" s="73" t="n"/>
      <c r="AV8" s="73" t="n"/>
      <c r="AW8" s="73" t="n"/>
      <c r="AX8" s="73" t="n"/>
      <c r="AY8" s="73" t="n"/>
      <c r="AZ8" s="73" t="n"/>
      <c r="BA8" s="73" t="n"/>
      <c r="BB8" s="73" t="n"/>
      <c r="BC8" s="73" t="n"/>
      <c r="BD8" s="73" t="n"/>
      <c r="BE8" s="73" t="n"/>
      <c r="BF8" s="73" t="n"/>
      <c r="BG8" s="73" t="n"/>
      <c r="BH8" s="73" t="n"/>
      <c r="BI8" s="73" t="n"/>
      <c r="BJ8" s="73" t="n"/>
      <c r="BK8" s="73" t="n"/>
      <c r="BL8" s="73" t="n"/>
      <c r="BM8" s="73" t="n"/>
      <c r="BN8" s="73" t="n"/>
      <c r="BO8" s="73" t="n"/>
      <c r="BP8" s="73" t="n"/>
      <c r="BQ8" s="73" t="n"/>
      <c r="BR8" s="73" t="n"/>
      <c r="BS8" s="73" t="n"/>
      <c r="BT8" s="73" t="n"/>
      <c r="BU8" s="73" t="n"/>
      <c r="BV8" s="73" t="n"/>
      <c r="BW8" s="73" t="n"/>
      <c r="BX8" s="73" t="n"/>
      <c r="BY8" s="73" t="n"/>
      <c r="BZ8" s="73" t="n"/>
      <c r="CA8" s="73" t="n"/>
      <c r="CB8" s="73" t="n"/>
      <c r="CC8" s="73" t="n"/>
      <c r="CD8" s="73" t="n"/>
      <c r="CE8" s="73" t="n"/>
      <c r="CF8" s="73" t="n"/>
      <c r="CG8" s="73" t="n"/>
      <c r="CH8" s="73" t="n"/>
      <c r="CI8" s="73" t="n"/>
      <c r="CJ8" s="73" t="n"/>
      <c r="CK8" s="73" t="n"/>
      <c r="CL8" s="73" t="n"/>
      <c r="CM8" s="73" t="n"/>
      <c r="CN8" s="73" t="n"/>
      <c r="CO8" s="73" t="n"/>
      <c r="CP8" s="73" t="n"/>
      <c r="CQ8" s="73" t="n"/>
      <c r="CR8" s="73" t="n"/>
      <c r="CS8" s="73" t="n"/>
      <c r="CT8" s="73" t="n"/>
      <c r="CU8" s="73" t="n"/>
      <c r="CV8" s="73" t="n"/>
      <c r="CW8" s="73" t="n"/>
      <c r="CX8" s="73" t="n"/>
      <c r="CY8" s="73" t="n"/>
      <c r="CZ8" s="73" t="n"/>
      <c r="DA8" s="73" t="n"/>
      <c r="DB8" s="73" t="n"/>
      <c r="DC8" s="73" t="n"/>
      <c r="DD8" s="73" t="n"/>
      <c r="DE8" s="73" t="n"/>
      <c r="DF8" s="73" t="n"/>
      <c r="DG8" s="73" t="n"/>
      <c r="DH8" s="73" t="n"/>
      <c r="DI8" s="73" t="n"/>
      <c r="DJ8" s="73" t="n"/>
      <c r="DK8" s="73" t="n"/>
      <c r="DL8" s="73" t="n"/>
      <c r="DM8" s="73" t="n"/>
      <c r="DN8" s="73" t="n"/>
      <c r="DO8" s="73" t="n"/>
      <c r="DP8" s="73" t="n"/>
      <c r="DQ8" s="73" t="n"/>
      <c r="DR8" s="73" t="n"/>
      <c r="DS8" s="73" t="n"/>
      <c r="DT8" s="73" t="n"/>
      <c r="DU8" s="73" t="n"/>
      <c r="DV8" s="73" t="n"/>
      <c r="DW8" s="73" t="n"/>
      <c r="DX8" s="73" t="n"/>
      <c r="DY8" s="73" t="n"/>
      <c r="DZ8" s="73" t="n"/>
      <c r="EA8" s="73" t="n"/>
      <c r="EB8" s="73" t="n"/>
      <c r="EC8" s="73" t="n"/>
      <c r="ED8" s="73" t="n"/>
      <c r="EE8" s="73" t="n"/>
      <c r="EF8" s="73" t="n"/>
      <c r="EG8" s="73" t="n"/>
      <c r="EH8" s="73" t="n"/>
      <c r="EI8" s="73" t="n"/>
      <c r="EJ8" s="73" t="n"/>
      <c r="EK8" s="73" t="n"/>
      <c r="EL8" s="73" t="n"/>
      <c r="EM8" s="73" t="n"/>
      <c r="EN8" s="73" t="n"/>
      <c r="EO8" s="73" t="n"/>
      <c r="EP8" s="73" t="n"/>
      <c r="EQ8" s="73" t="n"/>
      <c r="ER8" s="73" t="n"/>
      <c r="ES8" s="73" t="n"/>
      <c r="ET8" s="73" t="n"/>
      <c r="EU8" s="73" t="n"/>
      <c r="EV8" s="73" t="n"/>
      <c r="EW8" s="73" t="n"/>
      <c r="EX8" s="73" t="n"/>
      <c r="EY8" s="73" t="n"/>
      <c r="EZ8" s="73" t="n"/>
      <c r="FA8" s="73" t="n"/>
      <c r="FB8" s="73" t="n"/>
      <c r="FC8" s="73" t="n"/>
      <c r="FD8" s="73" t="n"/>
      <c r="FE8" s="73" t="n"/>
      <c r="FF8" s="73" t="n"/>
      <c r="FG8" s="73" t="n"/>
      <c r="FH8" s="73" t="n"/>
      <c r="FI8" s="73" t="n"/>
      <c r="FJ8" s="73" t="n"/>
      <c r="FK8" s="73" t="n"/>
      <c r="FL8" s="73" t="n"/>
      <c r="FM8" s="73" t="n"/>
      <c r="FN8" s="73" t="n"/>
      <c r="FO8" s="73" t="n"/>
      <c r="FP8" s="73" t="n"/>
      <c r="FQ8" s="73" t="n"/>
      <c r="FR8" s="73" t="n"/>
      <c r="FS8" s="73" t="n"/>
      <c r="FT8" s="73" t="n"/>
      <c r="FU8" s="73" t="n"/>
      <c r="FV8" s="73" t="n"/>
      <c r="FW8" s="73" t="n"/>
      <c r="FX8" s="73" t="n"/>
      <c r="FY8" s="73" t="n"/>
      <c r="FZ8" s="73" t="n"/>
      <c r="GA8" s="73" t="n"/>
      <c r="GB8" s="73" t="n"/>
      <c r="GC8" s="73" t="n"/>
      <c r="GD8" s="73" t="n"/>
      <c r="GE8" s="73" t="n"/>
      <c r="GF8" s="73" t="n"/>
      <c r="GG8" s="73" t="n"/>
      <c r="GH8" s="73" t="n"/>
      <c r="GI8" s="73" t="n"/>
      <c r="GJ8" s="73" t="n"/>
      <c r="GK8" s="73" t="n"/>
      <c r="GL8" s="73" t="n"/>
      <c r="GM8" s="73" t="n"/>
      <c r="GN8" s="73" t="n"/>
      <c r="GO8" s="73" t="n"/>
      <c r="GP8" s="73" t="n"/>
      <c r="GQ8" s="73" t="n"/>
      <c r="GR8" s="73" t="n"/>
      <c r="GS8" s="73" t="n"/>
      <c r="GT8" s="73" t="n"/>
      <c r="GU8" s="73" t="n"/>
      <c r="GV8" s="73" t="n"/>
      <c r="GW8" s="73" t="n"/>
      <c r="GX8" s="73" t="n"/>
      <c r="GY8" s="73" t="n"/>
      <c r="GZ8" s="73" t="n"/>
      <c r="HA8" s="73" t="n"/>
      <c r="HB8" s="73" t="n"/>
      <c r="HC8" s="73" t="n"/>
      <c r="HD8" s="73" t="n"/>
      <c r="HE8" s="73" t="n"/>
      <c r="HF8" s="73" t="n"/>
      <c r="HG8" s="73" t="n"/>
      <c r="HH8" s="73" t="n"/>
      <c r="HI8" s="73" t="n"/>
      <c r="HJ8" s="73" t="n"/>
      <c r="HK8" s="73" t="n"/>
      <c r="HL8" s="73" t="n"/>
      <c r="HM8" s="73" t="n"/>
      <c r="HN8" s="73" t="n"/>
      <c r="HO8" s="73" t="n"/>
      <c r="HP8" s="73" t="n"/>
      <c r="HQ8" s="73" t="n"/>
      <c r="HR8" s="73" t="n"/>
      <c r="HS8" s="73" t="n"/>
      <c r="HT8" s="73" t="n"/>
      <c r="HU8" s="73" t="n"/>
      <c r="HV8" s="73" t="n"/>
      <c r="HW8" s="73" t="n"/>
      <c r="HX8" s="73" t="n"/>
      <c r="HY8" s="73" t="n"/>
      <c r="HZ8" s="73" t="n"/>
      <c r="IA8" s="73" t="n"/>
      <c r="IB8" s="73" t="n"/>
      <c r="IC8" s="73" t="n"/>
      <c r="ID8" s="73" t="n"/>
      <c r="IE8" s="73" t="n"/>
      <c r="IF8" s="73" t="n"/>
      <c r="IG8" s="73" t="n"/>
      <c r="IH8" s="73" t="n"/>
      <c r="II8" s="73" t="n"/>
      <c r="IJ8" s="73" t="n"/>
      <c r="IK8" s="73" t="n"/>
      <c r="IL8" s="73" t="n"/>
      <c r="IM8" s="73" t="n"/>
      <c r="IN8" s="73" t="n"/>
      <c r="IO8" s="73" t="n"/>
      <c r="IP8" s="73" t="n"/>
      <c r="IQ8" s="73" t="n"/>
      <c r="IR8" s="73" t="n"/>
      <c r="IS8" s="73" t="n"/>
      <c r="IT8" s="73" t="n"/>
      <c r="IU8" s="73" t="n"/>
      <c r="IV8" s="73" t="n"/>
      <c r="IW8" s="73" t="n"/>
    </row>
    <row r="9" ht="14.25" customHeight="1" s="72">
      <c r="A9" s="83" t="n"/>
      <c r="B9" s="83" t="inlineStr">
        <is>
          <t>유 효 기 간 : 견적일로부터 30일</t>
        </is>
      </c>
      <c r="C9" s="83" t="n"/>
      <c r="D9" s="83" t="n"/>
      <c r="E9" s="83" t="n"/>
      <c r="F9" s="87" t="n"/>
      <c r="G9" s="85" t="n"/>
      <c r="H9" s="83" t="inlineStr">
        <is>
          <t>팩       스 : 02) 2039-8161</t>
        </is>
      </c>
      <c r="I9" s="83" t="n"/>
      <c r="J9" s="83" t="n"/>
      <c r="K9" s="73" t="n"/>
      <c r="L9" s="73" t="n"/>
      <c r="M9" s="73" t="n"/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73" t="n"/>
      <c r="Y9" s="73" t="n"/>
      <c r="Z9" s="73" t="n"/>
      <c r="AA9" s="73" t="n"/>
      <c r="AB9" s="73" t="n"/>
      <c r="AC9" s="73" t="n"/>
      <c r="AD9" s="73" t="n"/>
      <c r="AE9" s="73" t="n"/>
      <c r="AF9" s="73" t="n"/>
      <c r="AG9" s="73" t="n"/>
      <c r="AH9" s="73" t="n"/>
      <c r="AI9" s="73" t="n"/>
      <c r="AJ9" s="73" t="n"/>
      <c r="AK9" s="73" t="n"/>
      <c r="AL9" s="73" t="n"/>
      <c r="AM9" s="73" t="n"/>
      <c r="AN9" s="73" t="n"/>
      <c r="AO9" s="73" t="n"/>
      <c r="AP9" s="73" t="n"/>
      <c r="AQ9" s="73" t="n"/>
      <c r="AR9" s="73" t="n"/>
      <c r="AS9" s="73" t="n"/>
      <c r="AT9" s="73" t="n"/>
      <c r="AU9" s="73" t="n"/>
      <c r="AV9" s="73" t="n"/>
      <c r="AW9" s="73" t="n"/>
      <c r="AX9" s="73" t="n"/>
      <c r="AY9" s="73" t="n"/>
      <c r="AZ9" s="73" t="n"/>
      <c r="BA9" s="73" t="n"/>
      <c r="BB9" s="73" t="n"/>
      <c r="BC9" s="73" t="n"/>
      <c r="BD9" s="73" t="n"/>
      <c r="BE9" s="73" t="n"/>
      <c r="BF9" s="73" t="n"/>
      <c r="BG9" s="73" t="n"/>
      <c r="BH9" s="73" t="n"/>
      <c r="BI9" s="73" t="n"/>
      <c r="BJ9" s="73" t="n"/>
      <c r="BK9" s="73" t="n"/>
      <c r="BL9" s="73" t="n"/>
      <c r="BM9" s="73" t="n"/>
      <c r="BN9" s="73" t="n"/>
      <c r="BO9" s="73" t="n"/>
      <c r="BP9" s="73" t="n"/>
      <c r="BQ9" s="73" t="n"/>
      <c r="BR9" s="73" t="n"/>
      <c r="BS9" s="73" t="n"/>
      <c r="BT9" s="73" t="n"/>
      <c r="BU9" s="73" t="n"/>
      <c r="BV9" s="73" t="n"/>
      <c r="BW9" s="73" t="n"/>
      <c r="BX9" s="73" t="n"/>
      <c r="BY9" s="73" t="n"/>
      <c r="BZ9" s="73" t="n"/>
      <c r="CA9" s="73" t="n"/>
      <c r="CB9" s="73" t="n"/>
      <c r="CC9" s="73" t="n"/>
      <c r="CD9" s="73" t="n"/>
      <c r="CE9" s="73" t="n"/>
      <c r="CF9" s="73" t="n"/>
      <c r="CG9" s="73" t="n"/>
      <c r="CH9" s="73" t="n"/>
      <c r="CI9" s="73" t="n"/>
      <c r="CJ9" s="73" t="n"/>
      <c r="CK9" s="73" t="n"/>
      <c r="CL9" s="73" t="n"/>
      <c r="CM9" s="73" t="n"/>
      <c r="CN9" s="73" t="n"/>
      <c r="CO9" s="73" t="n"/>
      <c r="CP9" s="73" t="n"/>
      <c r="CQ9" s="73" t="n"/>
      <c r="CR9" s="73" t="n"/>
      <c r="CS9" s="73" t="n"/>
      <c r="CT9" s="73" t="n"/>
      <c r="CU9" s="73" t="n"/>
      <c r="CV9" s="73" t="n"/>
      <c r="CW9" s="73" t="n"/>
      <c r="CX9" s="73" t="n"/>
      <c r="CY9" s="73" t="n"/>
      <c r="CZ9" s="73" t="n"/>
      <c r="DA9" s="73" t="n"/>
      <c r="DB9" s="73" t="n"/>
      <c r="DC9" s="73" t="n"/>
      <c r="DD9" s="73" t="n"/>
      <c r="DE9" s="73" t="n"/>
      <c r="DF9" s="73" t="n"/>
      <c r="DG9" s="73" t="n"/>
      <c r="DH9" s="73" t="n"/>
      <c r="DI9" s="73" t="n"/>
      <c r="DJ9" s="73" t="n"/>
      <c r="DK9" s="73" t="n"/>
      <c r="DL9" s="73" t="n"/>
      <c r="DM9" s="73" t="n"/>
      <c r="DN9" s="73" t="n"/>
      <c r="DO9" s="73" t="n"/>
      <c r="DP9" s="73" t="n"/>
      <c r="DQ9" s="73" t="n"/>
      <c r="DR9" s="73" t="n"/>
      <c r="DS9" s="73" t="n"/>
      <c r="DT9" s="73" t="n"/>
      <c r="DU9" s="73" t="n"/>
      <c r="DV9" s="73" t="n"/>
      <c r="DW9" s="73" t="n"/>
      <c r="DX9" s="73" t="n"/>
      <c r="DY9" s="73" t="n"/>
      <c r="DZ9" s="73" t="n"/>
      <c r="EA9" s="73" t="n"/>
      <c r="EB9" s="73" t="n"/>
      <c r="EC9" s="73" t="n"/>
      <c r="ED9" s="73" t="n"/>
      <c r="EE9" s="73" t="n"/>
      <c r="EF9" s="73" t="n"/>
      <c r="EG9" s="73" t="n"/>
      <c r="EH9" s="73" t="n"/>
      <c r="EI9" s="73" t="n"/>
      <c r="EJ9" s="73" t="n"/>
      <c r="EK9" s="73" t="n"/>
      <c r="EL9" s="73" t="n"/>
      <c r="EM9" s="73" t="n"/>
      <c r="EN9" s="73" t="n"/>
      <c r="EO9" s="73" t="n"/>
      <c r="EP9" s="73" t="n"/>
      <c r="EQ9" s="73" t="n"/>
      <c r="ER9" s="73" t="n"/>
      <c r="ES9" s="73" t="n"/>
      <c r="ET9" s="73" t="n"/>
      <c r="EU9" s="73" t="n"/>
      <c r="EV9" s="73" t="n"/>
      <c r="EW9" s="73" t="n"/>
      <c r="EX9" s="73" t="n"/>
      <c r="EY9" s="73" t="n"/>
      <c r="EZ9" s="73" t="n"/>
      <c r="FA9" s="73" t="n"/>
      <c r="FB9" s="73" t="n"/>
      <c r="FC9" s="73" t="n"/>
      <c r="FD9" s="73" t="n"/>
      <c r="FE9" s="73" t="n"/>
      <c r="FF9" s="73" t="n"/>
      <c r="FG9" s="73" t="n"/>
      <c r="FH9" s="73" t="n"/>
      <c r="FI9" s="73" t="n"/>
      <c r="FJ9" s="73" t="n"/>
      <c r="FK9" s="73" t="n"/>
      <c r="FL9" s="73" t="n"/>
      <c r="FM9" s="73" t="n"/>
      <c r="FN9" s="73" t="n"/>
      <c r="FO9" s="73" t="n"/>
      <c r="FP9" s="73" t="n"/>
      <c r="FQ9" s="73" t="n"/>
      <c r="FR9" s="73" t="n"/>
      <c r="FS9" s="73" t="n"/>
      <c r="FT9" s="73" t="n"/>
      <c r="FU9" s="73" t="n"/>
      <c r="FV9" s="73" t="n"/>
      <c r="FW9" s="73" t="n"/>
      <c r="FX9" s="73" t="n"/>
      <c r="FY9" s="73" t="n"/>
      <c r="FZ9" s="73" t="n"/>
      <c r="GA9" s="73" t="n"/>
      <c r="GB9" s="73" t="n"/>
      <c r="GC9" s="73" t="n"/>
      <c r="GD9" s="73" t="n"/>
      <c r="GE9" s="73" t="n"/>
      <c r="GF9" s="73" t="n"/>
      <c r="GG9" s="73" t="n"/>
      <c r="GH9" s="73" t="n"/>
      <c r="GI9" s="73" t="n"/>
      <c r="GJ9" s="73" t="n"/>
      <c r="GK9" s="73" t="n"/>
      <c r="GL9" s="73" t="n"/>
      <c r="GM9" s="73" t="n"/>
      <c r="GN9" s="73" t="n"/>
      <c r="GO9" s="73" t="n"/>
      <c r="GP9" s="73" t="n"/>
      <c r="GQ9" s="73" t="n"/>
      <c r="GR9" s="73" t="n"/>
      <c r="GS9" s="73" t="n"/>
      <c r="GT9" s="73" t="n"/>
      <c r="GU9" s="73" t="n"/>
      <c r="GV9" s="73" t="n"/>
      <c r="GW9" s="73" t="n"/>
      <c r="GX9" s="73" t="n"/>
      <c r="GY9" s="73" t="n"/>
      <c r="GZ9" s="73" t="n"/>
      <c r="HA9" s="73" t="n"/>
      <c r="HB9" s="73" t="n"/>
      <c r="HC9" s="73" t="n"/>
      <c r="HD9" s="73" t="n"/>
      <c r="HE9" s="73" t="n"/>
      <c r="HF9" s="73" t="n"/>
      <c r="HG9" s="73" t="n"/>
      <c r="HH9" s="73" t="n"/>
      <c r="HI9" s="73" t="n"/>
      <c r="HJ9" s="73" t="n"/>
      <c r="HK9" s="73" t="n"/>
      <c r="HL9" s="73" t="n"/>
      <c r="HM9" s="73" t="n"/>
      <c r="HN9" s="73" t="n"/>
      <c r="HO9" s="73" t="n"/>
      <c r="HP9" s="73" t="n"/>
      <c r="HQ9" s="73" t="n"/>
      <c r="HR9" s="73" t="n"/>
      <c r="HS9" s="73" t="n"/>
      <c r="HT9" s="73" t="n"/>
      <c r="HU9" s="73" t="n"/>
      <c r="HV9" s="73" t="n"/>
      <c r="HW9" s="73" t="n"/>
      <c r="HX9" s="73" t="n"/>
      <c r="HY9" s="73" t="n"/>
      <c r="HZ9" s="73" t="n"/>
      <c r="IA9" s="73" t="n"/>
      <c r="IB9" s="73" t="n"/>
      <c r="IC9" s="73" t="n"/>
      <c r="ID9" s="73" t="n"/>
      <c r="IE9" s="73" t="n"/>
      <c r="IF9" s="73" t="n"/>
      <c r="IG9" s="73" t="n"/>
      <c r="IH9" s="73" t="n"/>
      <c r="II9" s="73" t="n"/>
      <c r="IJ9" s="73" t="n"/>
      <c r="IK9" s="73" t="n"/>
      <c r="IL9" s="73" t="n"/>
      <c r="IM9" s="73" t="n"/>
      <c r="IN9" s="73" t="n"/>
      <c r="IO9" s="73" t="n"/>
      <c r="IP9" s="73" t="n"/>
      <c r="IQ9" s="73" t="n"/>
      <c r="IR9" s="73" t="n"/>
      <c r="IS9" s="73" t="n"/>
      <c r="IT9" s="73" t="n"/>
      <c r="IU9" s="73" t="n"/>
      <c r="IV9" s="73" t="n"/>
      <c r="IW9" s="73" t="n"/>
    </row>
    <row r="10" ht="14.25" customHeight="1" s="72">
      <c r="A10" s="88" t="n"/>
      <c r="B10" s="87" t="inlineStr">
        <is>
          <t>견 적 번 호 : SKS-YYYYMMDD-NN</t>
        </is>
      </c>
      <c r="C10" s="88" t="n"/>
      <c r="D10" s="88" t="n"/>
      <c r="E10" s="88" t="n"/>
      <c r="F10" s="88" t="n"/>
      <c r="G10" s="85" t="n"/>
      <c r="H10" s="88" t="inlineStr">
        <is>
          <t xml:space="preserve">주       소 : 경상북도 포항시 북구 흥해읍 융합기술로66, </t>
        </is>
      </c>
      <c r="I10" s="88" t="n"/>
      <c r="J10" s="85" t="n"/>
    </row>
    <row r="11" ht="14.25" customHeight="1" s="72">
      <c r="A11" s="88" t="n"/>
      <c r="B11" s="87" t="n"/>
      <c r="C11" s="88" t="n"/>
      <c r="D11" s="88" t="n"/>
      <c r="E11" s="88" t="n"/>
      <c r="F11" s="88" t="n"/>
      <c r="G11" s="85" t="n"/>
      <c r="H11" s="88" t="inlineStr">
        <is>
          <t xml:space="preserve">              포항지식산업센터 408~409호</t>
        </is>
      </c>
      <c r="I11" s="88" t="n"/>
      <c r="J11" s="85" t="n"/>
    </row>
    <row r="12" ht="14.25" customHeight="1" s="72">
      <c r="A12" s="88" t="n"/>
      <c r="B12" s="87" t="inlineStr">
        <is>
          <t>아래와 같이 견적합니다.</t>
        </is>
      </c>
      <c r="C12" s="88" t="n"/>
      <c r="D12" s="88" t="n"/>
      <c r="E12" s="88" t="n"/>
      <c r="F12" s="88" t="n"/>
      <c r="G12" s="85" t="n"/>
      <c r="H12" s="88" t="n"/>
      <c r="I12" s="88" t="n"/>
      <c r="J12" s="85" t="n"/>
    </row>
    <row r="13" ht="14.25" customHeight="1" s="72">
      <c r="B13" s="87" t="n"/>
      <c r="C13" s="70" t="n"/>
      <c r="D13" s="70" t="n"/>
      <c r="E13" s="70" t="n"/>
      <c r="F13" s="70" t="n"/>
      <c r="H13" s="70" t="n"/>
      <c r="I13" s="70" t="n"/>
      <c r="J13" s="71" t="n"/>
    </row>
    <row r="14" ht="36" customHeight="1" s="72">
      <c r="B14" s="89" t="inlineStr">
        <is>
          <t>최종 견적 금액 : 일금 (한글 금액) 원 정((숫자)원) (VAT 별도)</t>
        </is>
      </c>
      <c r="C14" s="90" t="n"/>
      <c r="D14" s="90" t="n"/>
      <c r="E14" s="90" t="n"/>
      <c r="I14" s="71" t="n"/>
      <c r="J14" s="91" t="n"/>
    </row>
    <row r="15" ht="39.95" customHeight="1" s="72">
      <c r="B15" s="92" t="inlineStr">
        <is>
          <t>SEQ</t>
        </is>
      </c>
      <c r="C15" s="93" t="inlineStr">
        <is>
          <t>구분</t>
        </is>
      </c>
      <c r="D15" s="94" t="n"/>
      <c r="E15" s="95" t="inlineStr">
        <is>
          <t>세부내용</t>
        </is>
      </c>
      <c r="F15" s="97" t="inlineStr">
        <is>
          <t>단가</t>
        </is>
      </c>
      <c r="G15" s="96" t="inlineStr">
        <is>
          <t>모듈(식)</t>
        </is>
      </c>
      <c r="H15" s="97" t="inlineStr">
        <is>
          <t>금액</t>
        </is>
      </c>
      <c r="I15" s="96" t="inlineStr">
        <is>
          <t>할인금액</t>
        </is>
      </c>
      <c r="J15" s="98" t="inlineStr">
        <is>
          <t>비고</t>
        </is>
      </c>
    </row>
    <row r="16" ht="39.95" customHeight="1" s="72">
      <c r="B16" s="99" t="inlineStr">
        <is>
          <t>(과업명)</t>
        </is>
      </c>
      <c r="C16" s="100" t="n"/>
      <c r="D16" s="100" t="n"/>
      <c r="E16" s="100" t="n"/>
      <c r="F16" s="100" t="n"/>
      <c r="G16" s="100" t="n"/>
      <c r="H16" s="100" t="n"/>
      <c r="I16" s="100" t="n"/>
      <c r="J16" s="101" t="n"/>
    </row>
    <row r="17" ht="69.95" customHeight="1" s="72">
      <c r="B17" s="123" t="n">
        <v>1</v>
      </c>
      <c r="C17" s="124" t="inlineStr">
        <is>
          <t>(업무 구분)</t>
        </is>
      </c>
      <c r="D17" s="151" t="n"/>
      <c r="E17" s="105" t="inlineStr">
        <is>
          <t>- (세부 업무 내용)</t>
        </is>
      </c>
      <c r="F17" s="152" t="n"/>
      <c r="G17" s="103" t="n">
        <v>1</v>
      </c>
      <c r="H17" s="107">
        <f>F17*G17</f>
        <v/>
      </c>
      <c r="I17" s="108" t="n">
        <v>0</v>
      </c>
      <c r="J17" s="109" t="n"/>
    </row>
    <row r="18" ht="69.95" customHeight="1" s="72">
      <c r="B18" s="110" t="n"/>
      <c r="C18" s="153" t="n"/>
      <c r="D18" s="154" t="n"/>
      <c r="E18" s="105" t="inlineStr">
        <is>
          <t>- (세부 업무 내용)</t>
        </is>
      </c>
      <c r="F18" s="152" t="n"/>
      <c r="G18" s="103" t="n">
        <v>1</v>
      </c>
      <c r="H18" s="107">
        <f>F18*G18</f>
        <v/>
      </c>
      <c r="I18" s="108" t="n">
        <v>0</v>
      </c>
      <c r="J18" s="109" t="n"/>
    </row>
    <row r="19" ht="69.95" customHeight="1" s="72">
      <c r="B19" s="115" t="n"/>
      <c r="C19" s="155" t="n"/>
      <c r="D19" s="156" t="n"/>
      <c r="E19" s="105" t="inlineStr">
        <is>
          <t>- (세부 업무 내용)</t>
        </is>
      </c>
      <c r="F19" s="152" t="n"/>
      <c r="G19" s="103" t="n">
        <v>1</v>
      </c>
      <c r="H19" s="107">
        <f>F19*G19</f>
        <v/>
      </c>
      <c r="I19" s="108" t="n">
        <v>0</v>
      </c>
      <c r="J19" s="109" t="n"/>
    </row>
    <row r="20" ht="39.95" customHeight="1" s="72">
      <c r="B20" s="117" t="inlineStr">
        <is>
          <t>소계</t>
        </is>
      </c>
      <c r="C20" s="118" t="n"/>
      <c r="D20" s="118" t="n"/>
      <c r="E20" s="118" t="n"/>
      <c r="F20" s="119" t="inlineStr">
        <is>
          <t>-</t>
        </is>
      </c>
      <c r="G20" s="119" t="inlineStr">
        <is>
          <t>-</t>
        </is>
      </c>
      <c r="H20" s="120">
        <f>SUM(H17:H19)</f>
        <v/>
      </c>
      <c r="I20" s="121">
        <f>H20</f>
        <v/>
      </c>
      <c r="J20" s="122" t="n"/>
    </row>
    <row r="21" ht="69.95" customHeight="1" s="72">
      <c r="B21" s="123" t="n">
        <v>2</v>
      </c>
      <c r="C21" s="124" t="inlineStr">
        <is>
          <t>재경비</t>
        </is>
      </c>
      <c r="D21" s="125" t="n"/>
      <c r="E21" s="126" t="inlineStr">
        <is>
          <t>- 제공 기술에 대한 일반 재경비</t>
        </is>
      </c>
      <c r="F21" s="124" t="inlineStr">
        <is>
          <t>-</t>
        </is>
      </c>
      <c r="G21" s="124" t="inlineStr">
        <is>
          <t>-</t>
        </is>
      </c>
      <c r="H21" s="127">
        <f>H20*0%</f>
        <v/>
      </c>
      <c r="I21" s="127" t="n"/>
      <c r="J21" s="128" t="n"/>
    </row>
    <row r="22" ht="69.95" customHeight="1" s="72">
      <c r="B22" s="102" t="n">
        <v>3</v>
      </c>
      <c r="C22" s="124" t="inlineStr">
        <is>
          <t>기술료</t>
        </is>
      </c>
      <c r="D22" s="125" t="n"/>
      <c r="E22" s="126" t="inlineStr">
        <is>
          <t>- 제공 기술료</t>
        </is>
      </c>
      <c r="F22" s="124" t="inlineStr">
        <is>
          <t>-</t>
        </is>
      </c>
      <c r="G22" s="103" t="inlineStr">
        <is>
          <t>-</t>
        </is>
      </c>
      <c r="H22" s="107">
        <f>(H20+H21)*0</f>
        <v/>
      </c>
      <c r="I22" s="107" t="n"/>
      <c r="J22" s="129" t="n"/>
    </row>
    <row r="23" ht="39.95" customHeight="1" s="72">
      <c r="B23" s="130" t="inlineStr">
        <is>
          <t>소계</t>
        </is>
      </c>
      <c r="C23" s="131" t="n"/>
      <c r="D23" s="131" t="n"/>
      <c r="E23" s="131" t="n"/>
      <c r="F23" s="119" t="inlineStr">
        <is>
          <t>-</t>
        </is>
      </c>
      <c r="G23" s="119" t="inlineStr">
        <is>
          <t>-</t>
        </is>
      </c>
      <c r="H23" s="120">
        <f>SUM(H21:H22)</f>
        <v/>
      </c>
      <c r="I23" s="121">
        <f>H23</f>
        <v/>
      </c>
      <c r="J23" s="122" t="n"/>
    </row>
    <row r="24" ht="39.95" customHeight="1" s="72">
      <c r="B24" s="132" t="inlineStr">
        <is>
          <t>합계</t>
        </is>
      </c>
      <c r="C24" s="100" t="n"/>
      <c r="D24" s="100" t="n"/>
      <c r="E24" s="100" t="n"/>
      <c r="F24" s="133" t="inlineStr">
        <is>
          <t>-</t>
        </is>
      </c>
      <c r="G24" s="133" t="inlineStr">
        <is>
          <t>-</t>
        </is>
      </c>
      <c r="H24" s="134">
        <f>H20+H23</f>
        <v/>
      </c>
      <c r="I24" s="134">
        <f>I20+I23</f>
        <v/>
      </c>
      <c r="J24" s="135" t="n"/>
    </row>
    <row r="25" ht="20.1" customHeight="1" s="72">
      <c r="B25" s="136" t="inlineStr">
        <is>
          <t>특별 견적 금액</t>
        </is>
      </c>
      <c r="C25" s="137" t="n"/>
      <c r="D25" s="137" t="n"/>
      <c r="E25" s="137" t="n"/>
      <c r="F25" s="93" t="n"/>
      <c r="G25" s="93" t="n"/>
      <c r="H25" s="138">
        <f>H24</f>
        <v/>
      </c>
      <c r="I25" s="139">
        <f>H24</f>
        <v/>
      </c>
      <c r="J25" s="140" t="inlineStr">
        <is>
          <t>*할인률</t>
        </is>
      </c>
    </row>
    <row r="26" ht="20.1" customHeight="1" s="72">
      <c r="B26" s="141" t="n"/>
      <c r="C26" s="142" t="n"/>
      <c r="D26" s="142" t="n"/>
      <c r="E26" s="142" t="n"/>
      <c r="F26" s="143" t="n"/>
      <c r="G26" s="143" t="n"/>
      <c r="H26" s="143" t="n"/>
      <c r="I26" s="143" t="n"/>
      <c r="J26" s="144">
        <f>100%-(I25/H25)</f>
        <v/>
      </c>
    </row>
    <row r="27" ht="69.75" customHeight="1" s="72">
      <c r="B27" s="145" t="inlineStr">
        <is>
          <t>※ 비 고
   - 모듈별 정액 산정 시 사용하는 시트이며, 인력 기준 산정 시 견적서(인력) 시트를 사용함
   - 상기 금액은 부가가치세(VAT) 별도 금액임
   - 계약 조건은 계약서에 따름</t>
        </is>
      </c>
      <c r="C27" s="137" t="n"/>
      <c r="D27" s="137" t="n"/>
      <c r="E27" s="137" t="n"/>
      <c r="F27" s="137" t="n"/>
      <c r="G27" s="137" t="n"/>
      <c r="H27" s="137" t="n"/>
      <c r="I27" s="137" t="n"/>
      <c r="J27" s="146" t="n"/>
    </row>
    <row r="28" ht="28.5" customHeight="1" s="72">
      <c r="B28" s="141" t="n"/>
      <c r="C28" s="142" t="n"/>
      <c r="D28" s="142" t="n"/>
      <c r="E28" s="142" t="n"/>
      <c r="F28" s="142" t="n"/>
      <c r="G28" s="142" t="n"/>
      <c r="H28" s="142" t="n"/>
      <c r="I28" s="142" t="n"/>
      <c r="J28" s="147" t="n"/>
    </row>
    <row r="29" ht="10.5" customHeight="1" s="72">
      <c r="B29" s="148" t="n"/>
      <c r="C29" s="148" t="n"/>
      <c r="D29" s="148" t="n"/>
      <c r="E29" s="148" t="n"/>
      <c r="F29" s="148" t="n"/>
      <c r="G29" s="81" t="n"/>
      <c r="H29" s="148" t="n"/>
      <c r="I29" s="148" t="n"/>
      <c r="J29" s="148" t="n"/>
    </row>
    <row r="30" ht="7.5" customHeight="1" s="72"/>
    <row r="32" ht="12" customHeight="1" s="72">
      <c r="I32" s="149" t="n"/>
    </row>
    <row r="33" ht="12" customHeight="1" s="72">
      <c r="I33" s="149" t="n"/>
    </row>
    <row r="34" ht="12" customHeight="1" s="72">
      <c r="I34" s="150" t="n"/>
    </row>
  </sheetData>
  <mergeCells count="17">
    <mergeCell ref="B23:E23"/>
    <mergeCell ref="B17:B19"/>
    <mergeCell ref="H25:H26"/>
    <mergeCell ref="C21:D21"/>
    <mergeCell ref="I25:I26"/>
    <mergeCell ref="F25:F26"/>
    <mergeCell ref="C15:D15"/>
    <mergeCell ref="B1:J1"/>
    <mergeCell ref="C22:D22"/>
    <mergeCell ref="B24:E24"/>
    <mergeCell ref="B20:E20"/>
    <mergeCell ref="B25:E26"/>
    <mergeCell ref="B27:J28"/>
    <mergeCell ref="G25:G26"/>
    <mergeCell ref="B4:F5"/>
    <mergeCell ref="B16:J16"/>
    <mergeCell ref="C17:D19"/>
  </mergeCells>
  <printOptions horizontalCentered="1" verticalCentered="0" headings="0" gridLines="0" gridLinesSet="1"/>
  <pageMargins left="0.590277777777778" right="0.590277777777778" top="0.9840277777777779" bottom="0.9840277777777779" header="0.511811023622047" footer="0.511811023622047"/>
  <pageSetup orientation="portrait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:language xmlns:dc="http://purl.org/dc/elements/1.1/">en-US</dc:language>
  <dcterms:created xmlns:dcterms="http://purl.org/dc/terms/" xmlns:xsi="http://www.w3.org/2001/XMLSchema-instance" xsi:type="dcterms:W3CDTF">2017-09-22T16:10:28Z</dcterms:created>
  <dcterms:modified xmlns:dcterms="http://purl.org/dc/terms/" xmlns:xsi="http://www.w3.org/2001/XMLSchema-instance" xsi:type="dcterms:W3CDTF">2026-07-31T00:21:27Z</dcterms:modified>
  <cp:lastModifiedBy>주경지채</cp:lastModifiedBy>
  <cp:revision>0</cp:revision>
  <cp:lastPrinted>2026-04-20T21:05:41Z</cp:lastPrinted>
</cp:coreProperties>
</file>