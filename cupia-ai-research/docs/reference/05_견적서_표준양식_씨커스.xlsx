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견적서(인력)" sheetId="1" state="visible" r:id="rId1"/>
    <sheet xmlns:r="http://schemas.openxmlformats.org/officeDocument/2006/relationships" name="견적서(업무)" sheetId="2" state="visible" r:id="rId2"/>
  </sheets>
  <definedNames>
    <definedName name="_xlnm.Print_Area" localSheetId="0">'견적서(인력)'!$A$1:$L$34</definedName>
    <definedName name="_xlnm.Print_Area" localSheetId="1">'견적서(업무)'!$A$1:$K$30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23">
    <font>
      <name val="돋움"/>
      <charset val="129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굴림체"/>
      <charset val="129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34"/>
      <u val="single"/>
    </font>
    <font>
      <name val="굴림체"/>
      <charset val="129"/>
      <family val="3"/>
      <b val="1"/>
      <sz val="24"/>
      <u val="single"/>
    </font>
    <font>
      <name val="굴림체"/>
      <charset val="129"/>
      <family val="3"/>
      <b val="1"/>
      <sz val="24"/>
    </font>
    <font>
      <name val="굴림체"/>
      <charset val="129"/>
      <family val="3"/>
      <b val="1"/>
      <color rgb="FF000000"/>
      <sz val="18"/>
      <u val="single"/>
    </font>
    <font>
      <name val="굴림체"/>
      <charset val="129"/>
      <family val="3"/>
      <sz val="12"/>
    </font>
    <font>
      <name val="굴림체"/>
      <charset val="129"/>
      <family val="3"/>
      <color rgb="FF000000"/>
      <sz val="12"/>
    </font>
    <font>
      <name val="굴림체"/>
      <charset val="129"/>
      <family val="3"/>
      <b val="1"/>
      <sz val="12"/>
    </font>
    <font>
      <name val="굴림체"/>
      <charset val="129"/>
      <family val="3"/>
      <sz val="8"/>
    </font>
    <font>
      <name val="굴림체"/>
      <charset val="129"/>
      <family val="3"/>
      <b val="1"/>
      <sz val="14"/>
      <u val="single"/>
    </font>
    <font>
      <name val="굴림체"/>
      <charset val="129"/>
      <family val="3"/>
      <sz val="10"/>
      <u val="single"/>
    </font>
    <font>
      <name val="굴림체"/>
      <charset val="129"/>
      <family val="3"/>
      <color rgb="FFFFFFFF"/>
      <sz val="10"/>
    </font>
    <font>
      <name val="굴림체"/>
      <charset val="129"/>
      <family val="3"/>
      <b val="1"/>
      <color rgb="FFFFFFFF"/>
      <sz val="11"/>
    </font>
    <font>
      <name val="굴림체"/>
      <charset val="129"/>
      <family val="3"/>
      <b val="1"/>
      <color rgb="FF808080"/>
      <sz val="12"/>
    </font>
    <font>
      <name val="굴림체"/>
      <charset val="129"/>
      <family val="3"/>
      <color rgb="FF000000"/>
      <sz val="10"/>
    </font>
    <font>
      <name val="굴림체"/>
      <charset val="129"/>
      <family val="3"/>
      <color rgb="FF000000"/>
      <sz val="11"/>
    </font>
    <font>
      <name val="굴림체"/>
      <charset val="129"/>
      <family val="3"/>
      <color rgb="FFFFFFFF"/>
      <sz val="11"/>
    </font>
    <font>
      <name val="굴림체"/>
      <charset val="129"/>
      <family val="3"/>
      <strike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99CC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</fills>
  <borders count="43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thin"/>
      <right style="thin"/>
      <top style="thin"/>
      <bottom style="thin"/>
      <diagonal/>
    </border>
    <border>
      <left style="medium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medium"/>
      <top style="medium"/>
      <bottom/>
      <diagonal/>
    </border>
    <border>
      <left style="thin"/>
      <right style="medium"/>
      <top/>
      <bottom style="medium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 style="medium"/>
      <right/>
      <top/>
      <bottom style="medium"/>
      <diagonal/>
    </border>
    <border>
      <left style="thin"/>
      <right style="thin"/>
      <top/>
      <bottom style="medium"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164" fontId="0" fillId="0" borderId="0"/>
    <xf numFmtId="44" fontId="3" fillId="0" borderId="0"/>
    <xf numFmtId="42" fontId="3" fillId="0" borderId="0"/>
    <xf numFmtId="9" fontId="3" fillId="0" borderId="0"/>
  </cellStyleXfs>
  <cellXfs count="1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20" fillId="4" borderId="13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4" fillId="4" borderId="10" applyAlignment="1" pivotButton="0" quotePrefix="0" xfId="16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0" fillId="0" borderId="24" pivotButton="0" quotePrefix="0" xfId="0"/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30" pivotButton="0" quotePrefix="0" xfId="0"/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0" fillId="0" borderId="9" pivotButton="0" quotePrefix="0" xfId="0"/>
    <xf numFmtId="0" fontId="0" fillId="0" borderId="10" pivotButton="0" quotePrefix="0" xfId="0"/>
    <xf numFmtId="0" fontId="20" fillId="4" borderId="13" applyAlignment="1" pivotButton="0" quotePrefix="0" xfId="0">
      <alignment horizontal="center" vertical="center" wrapText="1"/>
    </xf>
    <xf numFmtId="0" fontId="0" fillId="0" borderId="32" pivotButton="0" quotePrefix="0" xfId="0"/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34" pivotButton="0" quotePrefix="0" xfId="0"/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0" fillId="0" borderId="35" pivotButton="0" quotePrefix="0" xfId="0"/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0" fontId="0" fillId="0" borderId="22" pivotButton="0" quotePrefix="0" xfId="0"/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1" pivotButton="0" quotePrefix="0" xfId="0"/>
    <xf numFmtId="0" fontId="0" fillId="0" borderId="37" pivotButton="0" quotePrefix="0" xfId="0"/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39" pivotButton="0" quotePrefix="0" xfId="0"/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33" pivotButton="0" quotePrefix="0" xfId="0"/>
    <xf numFmtId="164" fontId="4" fillId="4" borderId="10" applyAlignment="1" pivotButton="0" quotePrefix="0" xfId="16">
      <alignment horizontal="center" vertical="center" wrapText="1"/>
    </xf>
    <xf numFmtId="0" fontId="0" fillId="0" borderId="2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8</col>
      <colOff>42840</colOff>
      <row>3</row>
      <rowOff>37440</rowOff>
    </from>
    <to>
      <col>9</col>
      <colOff>879840</colOff>
      <row>5</row>
      <rowOff>47160</rowOff>
    </to>
    <pic>
      <nvPicPr>
        <cNvPr id="1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341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7</col>
      <colOff>43200</colOff>
      <row>3</row>
      <rowOff>37440</rowOff>
    </from>
    <to>
      <col>8</col>
      <colOff>879840</colOff>
      <row>5</row>
      <rowOff>47160</rowOff>
    </to>
    <pic>
      <nvPicPr>
        <cNvPr id="2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6203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2"/>
    <col width="5.99" customWidth="1" style="70" min="3" max="3"/>
    <col width="14.99" customWidth="1" style="70" min="4" max="4"/>
    <col width="26.43" customWidth="1" style="70" min="5" max="5"/>
    <col width="5.32" customWidth="1" style="71" min="6" max="6"/>
    <col width="13.32" customWidth="1" style="70" min="7" max="7"/>
    <col width="7.21" customWidth="1" style="71" min="8" max="8"/>
    <col width="13.32" customWidth="1" style="70" min="9" max="9"/>
    <col width="17.87" customWidth="1" style="70" min="10" max="10"/>
    <col width="16.77" customWidth="1" style="70" min="11" max="11"/>
    <col width="1.77" customWidth="1" style="70" min="12" max="12"/>
    <col width="8.869999999999999" customWidth="1" style="70" min="13" max="257"/>
  </cols>
  <sheetData>
    <row r="1" ht="43.5" customHeight="1" s="72">
      <c r="A1" s="73" t="n"/>
      <c r="B1" s="74" t="inlineStr">
        <is>
          <t>견    적    서</t>
        </is>
      </c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6" t="n"/>
      <c r="G2" s="75" t="n"/>
      <c r="H2" s="76" t="n"/>
      <c r="I2" s="75" t="n"/>
      <c r="J2" s="75" t="n"/>
      <c r="K2" s="77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6" t="n"/>
      <c r="G3" s="75" t="n"/>
      <c r="H3" s="76" t="n"/>
      <c r="I3" s="75" t="n"/>
      <c r="J3" s="75" t="n"/>
      <c r="K3" s="77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(수신처) 귀중</t>
        </is>
      </c>
      <c r="H4" s="79" t="n"/>
      <c r="I4" s="80" t="n"/>
      <c r="J4" s="80" t="n"/>
      <c r="K4" s="80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H5" s="81" t="n"/>
      <c r="I5" s="73" t="n"/>
      <c r="J5" s="82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(과업명)</t>
        </is>
      </c>
      <c r="C6" s="83" t="n"/>
      <c r="D6" s="83" t="n"/>
      <c r="E6" s="83" t="n"/>
      <c r="F6" s="85" t="n"/>
      <c r="G6" s="83" t="n"/>
      <c r="H6" s="85" t="n"/>
      <c r="I6" s="86" t="inlineStr">
        <is>
          <t>주식회사 씨커스(Seekers Inc.)</t>
        </is>
      </c>
      <c r="J6" s="83" t="n"/>
      <c r="K6" s="8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 xml:space="preserve">참       조 : </t>
        </is>
      </c>
      <c r="C7" s="83" t="n"/>
      <c r="D7" s="83" t="n"/>
      <c r="E7" s="83" t="n"/>
      <c r="F7" s="83" t="n"/>
      <c r="G7" s="83" t="n"/>
      <c r="H7" s="83" t="n"/>
      <c r="I7" s="83" t="inlineStr">
        <is>
          <t>대 표 이 사 : 최  경  호 (직인생략)</t>
        </is>
      </c>
      <c r="J7" s="83" t="n"/>
      <c r="K7" s="8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    년    월    일</t>
        </is>
      </c>
      <c r="C8" s="83" t="n"/>
      <c r="D8" s="83" t="n"/>
      <c r="E8" s="83" t="n"/>
      <c r="F8" s="85" t="n"/>
      <c r="G8" s="87" t="n"/>
      <c r="H8" s="85" t="n"/>
      <c r="I8" s="83" t="inlineStr">
        <is>
          <t>전       화 : 02) 2039-8160</t>
        </is>
      </c>
      <c r="J8" s="83" t="n"/>
      <c r="K8" s="8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5" t="n"/>
      <c r="G9" s="87" t="n"/>
      <c r="H9" s="85" t="n"/>
      <c r="I9" s="83" t="inlineStr">
        <is>
          <t>팩       스 : 02) 2039-8161</t>
        </is>
      </c>
      <c r="J9" s="83" t="n"/>
      <c r="K9" s="8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SKS-YYYYMMDD-NN</t>
        </is>
      </c>
      <c r="C10" s="88" t="n"/>
      <c r="D10" s="88" t="n"/>
      <c r="E10" s="88" t="n"/>
      <c r="F10" s="85" t="n"/>
      <c r="G10" s="88" t="n"/>
      <c r="H10" s="85" t="n"/>
      <c r="I10" s="88" t="inlineStr">
        <is>
          <t xml:space="preserve">주       소 : 경상북도 포항시 북구 흥해읍 융합기술로66, </t>
        </is>
      </c>
      <c r="J10" s="88" t="n"/>
      <c r="K10" s="85" t="n"/>
    </row>
    <row r="11" ht="14.25" customHeight="1" s="72">
      <c r="A11" s="88" t="n"/>
      <c r="B11" s="87" t="n"/>
      <c r="C11" s="88" t="n"/>
      <c r="D11" s="88" t="n"/>
      <c r="E11" s="88" t="n"/>
      <c r="F11" s="85" t="n"/>
      <c r="G11" s="88" t="n"/>
      <c r="H11" s="85" t="n"/>
      <c r="I11" s="88" t="inlineStr">
        <is>
          <t xml:space="preserve">              포항지식산업센터 408~409호</t>
        </is>
      </c>
      <c r="J11" s="88" t="n"/>
      <c r="K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5" t="n"/>
      <c r="G12" s="88" t="n"/>
      <c r="H12" s="85" t="n"/>
      <c r="I12" s="88" t="n"/>
      <c r="J12" s="88" t="n"/>
      <c r="K12" s="85" t="n"/>
    </row>
    <row r="13" ht="14.25" customHeight="1" s="72">
      <c r="B13" s="87" t="n"/>
      <c r="C13" s="70" t="n"/>
      <c r="D13" s="70" t="n"/>
      <c r="E13" s="70" t="n"/>
      <c r="G13" s="70" t="n"/>
      <c r="I13" s="70" t="n"/>
      <c r="J13" s="70" t="n"/>
      <c r="K13" s="71" t="n"/>
    </row>
    <row r="14" ht="36" customHeight="1" s="72">
      <c r="B14" s="89" t="inlineStr">
        <is>
          <t>최종 견적 금액 : 일금 (한글 금액) 원 정((숫자)원) (VAT 별도)</t>
        </is>
      </c>
      <c r="C14" s="90" t="n"/>
      <c r="D14" s="90" t="n"/>
      <c r="E14" s="90" t="n"/>
      <c r="J14" s="71" t="n"/>
      <c r="K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6" t="inlineStr">
        <is>
          <t>인원</t>
        </is>
      </c>
      <c r="G15" s="97" t="inlineStr">
        <is>
          <t>단가</t>
        </is>
      </c>
      <c r="H15" s="96" t="inlineStr">
        <is>
          <t>투입월</t>
        </is>
      </c>
      <c r="I15" s="97" t="inlineStr">
        <is>
          <t>금액</t>
        </is>
      </c>
      <c r="J15" s="96" t="inlineStr">
        <is>
          <t>할인금액</t>
        </is>
      </c>
      <c r="K15" s="98" t="inlineStr">
        <is>
          <t>비고</t>
        </is>
      </c>
    </row>
    <row r="16" ht="39.95" customHeight="1" s="72">
      <c r="B16" s="99" t="inlineStr">
        <is>
          <t>(과업명)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0" t="n"/>
      <c r="K16" s="101" t="n"/>
    </row>
    <row r="17" ht="57" customHeight="1" s="72">
      <c r="B17" s="102" t="n"/>
      <c r="C17" s="103" t="n"/>
      <c r="D17" s="104" t="inlineStr">
        <is>
          <t>IT기획자</t>
        </is>
      </c>
      <c r="E17" s="105" t="inlineStr">
        <is>
          <t>- 정보기술기획</t>
        </is>
      </c>
      <c r="F17" s="103" t="n"/>
      <c r="G17" s="106" t="n">
        <v>11853218</v>
      </c>
      <c r="H17" s="103" t="n"/>
      <c r="I17" s="107">
        <f>F17*G17*H17</f>
        <v/>
      </c>
      <c r="J17" s="108" t="n">
        <v>0</v>
      </c>
      <c r="K17" s="109" t="n"/>
    </row>
    <row r="18" ht="57" customHeight="1" s="72">
      <c r="B18" s="110" t="n"/>
      <c r="C18" s="111" t="n"/>
      <c r="D18" s="112" t="inlineStr">
        <is>
          <t>응용SW개발자</t>
        </is>
      </c>
      <c r="E18" s="113" t="inlineStr">
        <is>
          <t>- 응용SW개발</t>
        </is>
      </c>
      <c r="F18" s="103" t="n"/>
      <c r="G18" s="114" t="n">
        <v>7754124</v>
      </c>
      <c r="H18" s="103" t="n"/>
      <c r="I18" s="107">
        <f>F18*G18*H18</f>
        <v/>
      </c>
      <c r="J18" s="108" t="n">
        <v>0</v>
      </c>
      <c r="K18" s="109" t="n"/>
    </row>
    <row r="19" ht="57" customHeight="1" s="72">
      <c r="B19" s="110" t="n"/>
      <c r="C19" s="111" t="n"/>
      <c r="D19" s="112" t="inlineStr">
        <is>
          <t>시스템SW개발자</t>
        </is>
      </c>
      <c r="E19" s="113" t="inlineStr">
        <is>
          <t>- 시스템SW개발</t>
        </is>
      </c>
      <c r="F19" s="103" t="n"/>
      <c r="G19" s="114" t="n">
        <v>5840196</v>
      </c>
      <c r="H19" s="103" t="n"/>
      <c r="I19" s="107">
        <f>F19*G19*H19</f>
        <v/>
      </c>
      <c r="J19" s="108" t="n">
        <v>0</v>
      </c>
      <c r="K19" s="109" t="n"/>
    </row>
    <row r="20" ht="57" customHeight="1" s="72">
      <c r="B20" s="110" t="n"/>
      <c r="C20" s="111" t="n"/>
      <c r="D20" s="104" t="inlineStr">
        <is>
          <t>정보시스템운용자</t>
        </is>
      </c>
      <c r="E20" s="105" t="inlineStr">
        <is>
          <t>- 빅데이터엔지니어</t>
        </is>
      </c>
      <c r="F20" s="103" t="n"/>
      <c r="G20" s="106" t="n">
        <v>10649117</v>
      </c>
      <c r="H20" s="103" t="n"/>
      <c r="I20" s="107">
        <f>F20*G20*H20</f>
        <v/>
      </c>
      <c r="J20" s="108" t="n">
        <v>0</v>
      </c>
      <c r="K20" s="109" t="n"/>
    </row>
    <row r="21" ht="57" customHeight="1" s="72">
      <c r="B21" s="110" t="n"/>
      <c r="C21" s="111" t="n"/>
      <c r="D21" s="112" t="inlineStr">
        <is>
          <t>UI/UX기획/개발자</t>
        </is>
      </c>
      <c r="E21" s="113" t="inlineStr">
        <is>
          <t>- UI/UX기획, 개발</t>
        </is>
      </c>
      <c r="F21" s="103" t="n"/>
      <c r="G21" s="114" t="n">
        <v>6901660</v>
      </c>
      <c r="H21" s="103" t="n"/>
      <c r="I21" s="107">
        <f>F21*G21*H21</f>
        <v/>
      </c>
      <c r="J21" s="108" t="n">
        <v>0</v>
      </c>
      <c r="K21" s="109" t="n"/>
    </row>
    <row r="22" ht="57" customHeight="1" s="72">
      <c r="B22" s="110" t="n"/>
      <c r="C22" s="111" t="n"/>
      <c r="D22" s="104" t="inlineStr">
        <is>
          <t>IT품질관리자</t>
        </is>
      </c>
      <c r="E22" s="105" t="inlineStr">
        <is>
          <t>- 품질관리, 테스트</t>
        </is>
      </c>
      <c r="F22" s="103" t="n"/>
      <c r="G22" s="106" t="n">
        <v>11042071</v>
      </c>
      <c r="H22" s="103" t="n"/>
      <c r="I22" s="107">
        <f>F22*G22*H22</f>
        <v/>
      </c>
      <c r="J22" s="108" t="n">
        <v>0</v>
      </c>
      <c r="K22" s="109" t="n"/>
    </row>
    <row r="23" ht="57" customHeight="1" s="72">
      <c r="B23" s="115" t="n"/>
      <c r="C23" s="116" t="n"/>
      <c r="D23" s="104" t="inlineStr">
        <is>
          <t>정보보안전문가</t>
        </is>
      </c>
      <c r="E23" s="105" t="inlineStr">
        <is>
          <t>- 정보보호관리, 침해대응 테스트</t>
        </is>
      </c>
      <c r="F23" s="103" t="n"/>
      <c r="G23" s="106" t="n">
        <v>10411680</v>
      </c>
      <c r="H23" s="103" t="n"/>
      <c r="I23" s="107">
        <f>F23*G23*H23</f>
        <v/>
      </c>
      <c r="J23" s="108" t="n">
        <v>0</v>
      </c>
      <c r="K23" s="109" t="n"/>
    </row>
    <row r="24" ht="39.95" customHeight="1" s="72">
      <c r="B24" s="117" t="inlineStr">
        <is>
          <t>소계</t>
        </is>
      </c>
      <c r="C24" s="118" t="n"/>
      <c r="D24" s="118" t="n"/>
      <c r="E24" s="118" t="n"/>
      <c r="F24" s="119" t="inlineStr">
        <is>
          <t>-</t>
        </is>
      </c>
      <c r="G24" s="119" t="inlineStr">
        <is>
          <t>-</t>
        </is>
      </c>
      <c r="H24" s="119" t="inlineStr">
        <is>
          <t>-</t>
        </is>
      </c>
      <c r="I24" s="120">
        <f>SUM(I17:I23)</f>
        <v/>
      </c>
      <c r="J24" s="121" t="n">
        <v>0</v>
      </c>
      <c r="K24" s="122" t="n"/>
    </row>
    <row r="25" ht="39.95" customHeight="1" s="72">
      <c r="B25" s="123" t="n">
        <v>2</v>
      </c>
      <c r="C25" s="124" t="inlineStr">
        <is>
          <t>재경비</t>
        </is>
      </c>
      <c r="D25" s="125" t="n"/>
      <c r="E25" s="126" t="inlineStr">
        <is>
          <t>- 제공 기술에 대한 일반 재경비</t>
        </is>
      </c>
      <c r="F25" s="124" t="inlineStr">
        <is>
          <t>-</t>
        </is>
      </c>
      <c r="G25" s="124" t="inlineStr">
        <is>
          <t>-</t>
        </is>
      </c>
      <c r="H25" s="124" t="inlineStr">
        <is>
          <t>-</t>
        </is>
      </c>
      <c r="I25" s="127">
        <f>I24*0%</f>
        <v/>
      </c>
      <c r="J25" s="127" t="n"/>
      <c r="K25" s="128" t="n"/>
    </row>
    <row r="26" ht="39.95" customHeight="1" s="72">
      <c r="B26" s="102" t="n">
        <v>3</v>
      </c>
      <c r="C26" s="124" t="inlineStr">
        <is>
          <t>기술료</t>
        </is>
      </c>
      <c r="D26" s="125" t="n"/>
      <c r="E26" s="126" t="inlineStr">
        <is>
          <t>- 제공 기술료</t>
        </is>
      </c>
      <c r="F26" s="103" t="inlineStr">
        <is>
          <t>-</t>
        </is>
      </c>
      <c r="G26" s="124" t="inlineStr">
        <is>
          <t>-</t>
        </is>
      </c>
      <c r="H26" s="103" t="inlineStr">
        <is>
          <t>-</t>
        </is>
      </c>
      <c r="I26" s="107">
        <f>(I24+I25)*0</f>
        <v/>
      </c>
      <c r="J26" s="107" t="n"/>
      <c r="K26" s="129" t="n"/>
    </row>
    <row r="27" ht="39.95" customHeight="1" s="72">
      <c r="B27" s="130" t="inlineStr">
        <is>
          <t>소계</t>
        </is>
      </c>
      <c r="C27" s="131" t="n"/>
      <c r="D27" s="131" t="n"/>
      <c r="E27" s="131" t="n"/>
      <c r="F27" s="119" t="inlineStr">
        <is>
          <t>-</t>
        </is>
      </c>
      <c r="G27" s="119" t="inlineStr">
        <is>
          <t>-</t>
        </is>
      </c>
      <c r="H27" s="119" t="inlineStr">
        <is>
          <t>-</t>
        </is>
      </c>
      <c r="I27" s="120">
        <f>SUM(I25:I26)</f>
        <v/>
      </c>
      <c r="J27" s="121">
        <f>I27</f>
        <v/>
      </c>
      <c r="K27" s="122" t="n"/>
    </row>
    <row r="28" ht="39.95" customHeight="1" s="72">
      <c r="B28" s="132" t="inlineStr">
        <is>
          <t>합계</t>
        </is>
      </c>
      <c r="C28" s="100" t="n"/>
      <c r="D28" s="100" t="n"/>
      <c r="E28" s="100" t="n"/>
      <c r="F28" s="133" t="inlineStr">
        <is>
          <t>-</t>
        </is>
      </c>
      <c r="G28" s="133" t="inlineStr">
        <is>
          <t>-</t>
        </is>
      </c>
      <c r="H28" s="133" t="inlineStr">
        <is>
          <t>-</t>
        </is>
      </c>
      <c r="I28" s="134">
        <f>I24+I27</f>
        <v/>
      </c>
      <c r="J28" s="134">
        <f>J24+J27</f>
        <v/>
      </c>
      <c r="K28" s="135" t="n"/>
    </row>
    <row r="29" ht="20.1" customHeight="1" s="72">
      <c r="B29" s="136" t="inlineStr">
        <is>
          <t>특별 견적 금액</t>
        </is>
      </c>
      <c r="C29" s="137" t="n"/>
      <c r="D29" s="137" t="n"/>
      <c r="E29" s="137" t="n"/>
      <c r="F29" s="93" t="n"/>
      <c r="G29" s="93" t="n"/>
      <c r="H29" s="93" t="n"/>
      <c r="I29" s="138">
        <f>I28</f>
        <v/>
      </c>
      <c r="J29" s="139">
        <f>I28</f>
        <v/>
      </c>
      <c r="K29" s="140" t="inlineStr">
        <is>
          <t>*할인률</t>
        </is>
      </c>
    </row>
    <row r="30" ht="20.1" customHeight="1" s="72">
      <c r="B30" s="141" t="n"/>
      <c r="C30" s="142" t="n"/>
      <c r="D30" s="142" t="n"/>
      <c r="E30" s="142" t="n"/>
      <c r="F30" s="143" t="n"/>
      <c r="G30" s="143" t="n"/>
      <c r="H30" s="143" t="n"/>
      <c r="I30" s="143" t="n"/>
      <c r="J30" s="143" t="n"/>
      <c r="K30" s="144">
        <f>100%-(J29/I29)</f>
        <v/>
      </c>
    </row>
    <row r="31" ht="69.75" customHeight="1" s="72">
      <c r="B31" s="145" t="inlineStr">
        <is>
          <t>※ 비 고
   - 단가는 SW기술자 직무별 평균임금 체계를 따른 당사 표준 단가 기준임 (직무 행은 과업에 맞게 증감)
   - 상기 금액은 부가가치세(VAT) 별도 금액임
   - 재경비·기술료는 협의에 따라 별도 산정하며, 계약 조건은 계약서에 따름</t>
        </is>
      </c>
      <c r="C31" s="137" t="n"/>
      <c r="D31" s="137" t="n"/>
      <c r="E31" s="137" t="n"/>
      <c r="F31" s="137" t="n"/>
      <c r="G31" s="137" t="n"/>
      <c r="H31" s="137" t="n"/>
      <c r="I31" s="137" t="n"/>
      <c r="J31" s="137" t="n"/>
      <c r="K31" s="146" t="n"/>
    </row>
    <row r="32" ht="33.75" customHeight="1" s="72">
      <c r="B32" s="141" t="n"/>
      <c r="C32" s="142" t="n"/>
      <c r="D32" s="142" t="n"/>
      <c r="E32" s="142" t="n"/>
      <c r="F32" s="142" t="n"/>
      <c r="G32" s="142" t="n"/>
      <c r="H32" s="142" t="n"/>
      <c r="I32" s="142" t="n"/>
      <c r="J32" s="142" t="n"/>
      <c r="K32" s="147" t="n"/>
    </row>
    <row r="33" ht="10.5" customHeight="1" s="72">
      <c r="B33" s="148" t="n"/>
      <c r="C33" s="148" t="n"/>
      <c r="D33" s="148" t="n"/>
      <c r="E33" s="148" t="n"/>
      <c r="F33" s="81" t="n"/>
      <c r="G33" s="148" t="n"/>
      <c r="H33" s="81" t="n"/>
      <c r="I33" s="148" t="n"/>
      <c r="J33" s="148" t="n"/>
      <c r="K33" s="148" t="n"/>
    </row>
    <row r="34" ht="7.5" customHeight="1" s="72"/>
    <row r="36" ht="12" customHeight="1" s="72">
      <c r="J36" s="149" t="n"/>
    </row>
    <row r="37" ht="12" customHeight="1" s="72">
      <c r="J37" s="149" t="n"/>
    </row>
    <row r="38" ht="12" customHeight="1" s="72">
      <c r="J38" s="150" t="n"/>
    </row>
  </sheetData>
  <mergeCells count="18">
    <mergeCell ref="F29:F30"/>
    <mergeCell ref="B29:E30"/>
    <mergeCell ref="B27:E27"/>
    <mergeCell ref="B31:K32"/>
    <mergeCell ref="B1:K1"/>
    <mergeCell ref="H29:H30"/>
    <mergeCell ref="C15:D15"/>
    <mergeCell ref="G29:G30"/>
    <mergeCell ref="C25:D25"/>
    <mergeCell ref="B17:B23"/>
    <mergeCell ref="C26:D26"/>
    <mergeCell ref="C17:C23"/>
    <mergeCell ref="I29:I30"/>
    <mergeCell ref="B4:G5"/>
    <mergeCell ref="B24:E24"/>
    <mergeCell ref="B16:K16"/>
    <mergeCell ref="B28:E28"/>
    <mergeCell ref="J29:J30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W34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3"/>
    <col width="9.43" customWidth="1" style="70" min="4" max="4"/>
    <col width="26.43" customWidth="1" style="70" min="5" max="5"/>
    <col width="13.32" customWidth="1" style="70" min="6" max="6"/>
    <col width="10.55" customWidth="1" style="71" min="7" max="7"/>
    <col width="13.32" customWidth="1" style="70" min="8" max="8"/>
    <col width="17.87" customWidth="1" style="70" min="9" max="9"/>
    <col width="16.77" customWidth="1" style="70" min="10" max="10"/>
    <col width="1.77" customWidth="1" style="70" min="11" max="11"/>
    <col width="8.869999999999999" customWidth="1" style="70" min="12" max="257"/>
  </cols>
  <sheetData>
    <row r="1" ht="43.5" customHeight="1" s="72">
      <c r="A1" s="73" t="n"/>
      <c r="B1" s="74" t="inlineStr">
        <is>
          <t>견    적    서</t>
        </is>
      </c>
      <c r="K1" s="73" t="n"/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5" t="n"/>
      <c r="G2" s="76" t="n"/>
      <c r="H2" s="75" t="n"/>
      <c r="I2" s="75" t="n"/>
      <c r="J2" s="77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5" t="n"/>
      <c r="G3" s="76" t="n"/>
      <c r="H3" s="75" t="n"/>
      <c r="I3" s="75" t="n"/>
      <c r="J3" s="77" t="n"/>
      <c r="K3" s="73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(수신처) 귀중</t>
        </is>
      </c>
      <c r="G4" s="79" t="n"/>
      <c r="H4" s="80" t="n"/>
      <c r="I4" s="80" t="n"/>
      <c r="J4" s="80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G5" s="81" t="n"/>
      <c r="H5" s="73" t="n"/>
      <c r="I5" s="82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(과업명)</t>
        </is>
      </c>
      <c r="C6" s="83" t="n"/>
      <c r="D6" s="83" t="n"/>
      <c r="E6" s="83" t="n"/>
      <c r="F6" s="83" t="n"/>
      <c r="G6" s="85" t="n"/>
      <c r="H6" s="86" t="inlineStr">
        <is>
          <t>주식회사 씨커스(Seekers Inc.)</t>
        </is>
      </c>
      <c r="I6" s="83" t="n"/>
      <c r="J6" s="83" t="n"/>
      <c r="K6" s="7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 xml:space="preserve">참       조 : </t>
        </is>
      </c>
      <c r="C7" s="83" t="n"/>
      <c r="D7" s="83" t="n"/>
      <c r="E7" s="83" t="n"/>
      <c r="F7" s="83" t="n"/>
      <c r="G7" s="83" t="n"/>
      <c r="H7" s="83" t="inlineStr">
        <is>
          <t>대 표 이 사 : 최  경  호 (직인생략)</t>
        </is>
      </c>
      <c r="I7" s="83" t="n"/>
      <c r="J7" s="8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    년    월    일</t>
        </is>
      </c>
      <c r="C8" s="83" t="n"/>
      <c r="D8" s="83" t="n"/>
      <c r="E8" s="83" t="n"/>
      <c r="F8" s="87" t="n"/>
      <c r="G8" s="85" t="n"/>
      <c r="H8" s="83" t="inlineStr">
        <is>
          <t>전       화 : 02) 2039-8160</t>
        </is>
      </c>
      <c r="I8" s="83" t="n"/>
      <c r="J8" s="8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7" t="n"/>
      <c r="G9" s="85" t="n"/>
      <c r="H9" s="83" t="inlineStr">
        <is>
          <t>팩       스 : 02) 2039-8161</t>
        </is>
      </c>
      <c r="I9" s="83" t="n"/>
      <c r="J9" s="8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SKS-YYYYMMDD-NN</t>
        </is>
      </c>
      <c r="C10" s="88" t="n"/>
      <c r="D10" s="88" t="n"/>
      <c r="E10" s="88" t="n"/>
      <c r="F10" s="88" t="n"/>
      <c r="G10" s="85" t="n"/>
      <c r="H10" s="88" t="inlineStr">
        <is>
          <t xml:space="preserve">주       소 : 경상북도 포항시 북구 흥해읍 융합기술로66, </t>
        </is>
      </c>
      <c r="I10" s="88" t="n"/>
      <c r="J10" s="85" t="n"/>
    </row>
    <row r="11" ht="14.25" customHeight="1" s="72">
      <c r="A11" s="88" t="n"/>
      <c r="B11" s="87" t="n"/>
      <c r="C11" s="88" t="n"/>
      <c r="D11" s="88" t="n"/>
      <c r="E11" s="88" t="n"/>
      <c r="F11" s="88" t="n"/>
      <c r="G11" s="85" t="n"/>
      <c r="H11" s="88" t="inlineStr">
        <is>
          <t xml:space="preserve">              포항지식산업센터 408~409호</t>
        </is>
      </c>
      <c r="I11" s="88" t="n"/>
      <c r="J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8" t="n"/>
      <c r="G12" s="85" t="n"/>
      <c r="H12" s="88" t="n"/>
      <c r="I12" s="88" t="n"/>
      <c r="J12" s="85" t="n"/>
    </row>
    <row r="13" ht="14.25" customHeight="1" s="72">
      <c r="B13" s="87" t="n"/>
      <c r="C13" s="70" t="n"/>
      <c r="D13" s="70" t="n"/>
      <c r="E13" s="70" t="n"/>
      <c r="F13" s="70" t="n"/>
      <c r="H13" s="70" t="n"/>
      <c r="I13" s="70" t="n"/>
      <c r="J13" s="71" t="n"/>
    </row>
    <row r="14" ht="36" customHeight="1" s="72">
      <c r="B14" s="89" t="inlineStr">
        <is>
          <t>최종 견적 금액 : 일금 (한글 금액) 원 정((숫자)원) (VAT 별도)</t>
        </is>
      </c>
      <c r="C14" s="90" t="n"/>
      <c r="D14" s="90" t="n"/>
      <c r="E14" s="90" t="n"/>
      <c r="I14" s="71" t="n"/>
      <c r="J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7" t="inlineStr">
        <is>
          <t>단가</t>
        </is>
      </c>
      <c r="G15" s="96" t="inlineStr">
        <is>
          <t>모듈(식)</t>
        </is>
      </c>
      <c r="H15" s="97" t="inlineStr">
        <is>
          <t>금액</t>
        </is>
      </c>
      <c r="I15" s="96" t="inlineStr">
        <is>
          <t>할인금액</t>
        </is>
      </c>
      <c r="J15" s="98" t="inlineStr">
        <is>
          <t>비고</t>
        </is>
      </c>
    </row>
    <row r="16" ht="39.95" customHeight="1" s="72">
      <c r="B16" s="99" t="inlineStr">
        <is>
          <t>(과업명)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1" t="n"/>
    </row>
    <row r="17" ht="69.95" customHeight="1" s="72">
      <c r="B17" s="123" t="n">
        <v>1</v>
      </c>
      <c r="C17" s="124" t="inlineStr">
        <is>
          <t>(업무 구분)</t>
        </is>
      </c>
      <c r="D17" s="151" t="n"/>
      <c r="E17" s="105" t="inlineStr">
        <is>
          <t>- (세부 업무 내용)</t>
        </is>
      </c>
      <c r="F17" s="152" t="n"/>
      <c r="G17" s="103" t="n">
        <v>1</v>
      </c>
      <c r="H17" s="107">
        <f>F17*G17</f>
        <v/>
      </c>
      <c r="I17" s="108" t="n">
        <v>0</v>
      </c>
      <c r="J17" s="109" t="n"/>
    </row>
    <row r="18" ht="69.95" customHeight="1" s="72">
      <c r="B18" s="110" t="n"/>
      <c r="C18" s="153" t="n"/>
      <c r="D18" s="154" t="n"/>
      <c r="E18" s="105" t="inlineStr">
        <is>
          <t>- (세부 업무 내용)</t>
        </is>
      </c>
      <c r="F18" s="152" t="n"/>
      <c r="G18" s="103" t="n">
        <v>1</v>
      </c>
      <c r="H18" s="107">
        <f>F18*G18</f>
        <v/>
      </c>
      <c r="I18" s="108" t="n">
        <v>0</v>
      </c>
      <c r="J18" s="109" t="n"/>
    </row>
    <row r="19" ht="69.95" customHeight="1" s="72">
      <c r="B19" s="115" t="n"/>
      <c r="C19" s="155" t="n"/>
      <c r="D19" s="156" t="n"/>
      <c r="E19" s="105" t="inlineStr">
        <is>
          <t>- (세부 업무 내용)</t>
        </is>
      </c>
      <c r="F19" s="152" t="n"/>
      <c r="G19" s="103" t="n">
        <v>1</v>
      </c>
      <c r="H19" s="107">
        <f>F19*G19</f>
        <v/>
      </c>
      <c r="I19" s="108" t="n">
        <v>0</v>
      </c>
      <c r="J19" s="109" t="n"/>
    </row>
    <row r="20" ht="39.95" customHeight="1" s="72">
      <c r="B20" s="117" t="inlineStr">
        <is>
          <t>소계</t>
        </is>
      </c>
      <c r="C20" s="118" t="n"/>
      <c r="D20" s="118" t="n"/>
      <c r="E20" s="118" t="n"/>
      <c r="F20" s="119" t="inlineStr">
        <is>
          <t>-</t>
        </is>
      </c>
      <c r="G20" s="119" t="inlineStr">
        <is>
          <t>-</t>
        </is>
      </c>
      <c r="H20" s="120">
        <f>SUM(H17:H19)</f>
        <v/>
      </c>
      <c r="I20" s="121">
        <f>H20</f>
        <v/>
      </c>
      <c r="J20" s="122" t="n"/>
    </row>
    <row r="21" ht="69.95" customHeight="1" s="72">
      <c r="B21" s="123" t="n">
        <v>2</v>
      </c>
      <c r="C21" s="124" t="inlineStr">
        <is>
          <t>재경비</t>
        </is>
      </c>
      <c r="D21" s="125" t="n"/>
      <c r="E21" s="126" t="inlineStr">
        <is>
          <t>- 제공 기술에 대한 일반 재경비</t>
        </is>
      </c>
      <c r="F21" s="124" t="inlineStr">
        <is>
          <t>-</t>
        </is>
      </c>
      <c r="G21" s="124" t="inlineStr">
        <is>
          <t>-</t>
        </is>
      </c>
      <c r="H21" s="127">
        <f>H20*0%</f>
        <v/>
      </c>
      <c r="I21" s="127" t="n"/>
      <c r="J21" s="128" t="n"/>
    </row>
    <row r="22" ht="69.95" customHeight="1" s="72">
      <c r="B22" s="102" t="n">
        <v>3</v>
      </c>
      <c r="C22" s="124" t="inlineStr">
        <is>
          <t>기술료</t>
        </is>
      </c>
      <c r="D22" s="125" t="n"/>
      <c r="E22" s="126" t="inlineStr">
        <is>
          <t>- 제공 기술료</t>
        </is>
      </c>
      <c r="F22" s="124" t="inlineStr">
        <is>
          <t>-</t>
        </is>
      </c>
      <c r="G22" s="103" t="inlineStr">
        <is>
          <t>-</t>
        </is>
      </c>
      <c r="H22" s="107">
        <f>(H20+H21)*0</f>
        <v/>
      </c>
      <c r="I22" s="107" t="n"/>
      <c r="J22" s="129" t="n"/>
    </row>
    <row r="23" ht="39.95" customHeight="1" s="72">
      <c r="B23" s="130" t="inlineStr">
        <is>
          <t>소계</t>
        </is>
      </c>
      <c r="C23" s="131" t="n"/>
      <c r="D23" s="131" t="n"/>
      <c r="E23" s="131" t="n"/>
      <c r="F23" s="119" t="inlineStr">
        <is>
          <t>-</t>
        </is>
      </c>
      <c r="G23" s="119" t="inlineStr">
        <is>
          <t>-</t>
        </is>
      </c>
      <c r="H23" s="120">
        <f>SUM(H21:H22)</f>
        <v/>
      </c>
      <c r="I23" s="121">
        <f>H23</f>
        <v/>
      </c>
      <c r="J23" s="122" t="n"/>
    </row>
    <row r="24" ht="39.95" customHeight="1" s="72">
      <c r="B24" s="132" t="inlineStr">
        <is>
          <t>합계</t>
        </is>
      </c>
      <c r="C24" s="100" t="n"/>
      <c r="D24" s="100" t="n"/>
      <c r="E24" s="100" t="n"/>
      <c r="F24" s="133" t="inlineStr">
        <is>
          <t>-</t>
        </is>
      </c>
      <c r="G24" s="133" t="inlineStr">
        <is>
          <t>-</t>
        </is>
      </c>
      <c r="H24" s="134">
        <f>H20+H23</f>
        <v/>
      </c>
      <c r="I24" s="134">
        <f>I20+I23</f>
        <v/>
      </c>
      <c r="J24" s="135" t="n"/>
    </row>
    <row r="25" ht="20.1" customHeight="1" s="72">
      <c r="B25" s="136" t="inlineStr">
        <is>
          <t>특별 견적 금액</t>
        </is>
      </c>
      <c r="C25" s="137" t="n"/>
      <c r="D25" s="137" t="n"/>
      <c r="E25" s="137" t="n"/>
      <c r="F25" s="93" t="n"/>
      <c r="G25" s="93" t="n"/>
      <c r="H25" s="138">
        <f>H24</f>
        <v/>
      </c>
      <c r="I25" s="139">
        <f>H24</f>
        <v/>
      </c>
      <c r="J25" s="140" t="inlineStr">
        <is>
          <t>*할인률</t>
        </is>
      </c>
    </row>
    <row r="26" ht="20.1" customHeight="1" s="72">
      <c r="B26" s="141" t="n"/>
      <c r="C26" s="142" t="n"/>
      <c r="D26" s="142" t="n"/>
      <c r="E26" s="142" t="n"/>
      <c r="F26" s="143" t="n"/>
      <c r="G26" s="143" t="n"/>
      <c r="H26" s="143" t="n"/>
      <c r="I26" s="143" t="n"/>
      <c r="J26" s="144">
        <f>100%-(I25/H25)</f>
        <v/>
      </c>
    </row>
    <row r="27" ht="69.75" customHeight="1" s="72">
      <c r="B27" s="145" t="inlineStr">
        <is>
          <t>※ 비 고
   - 모듈별 정액 산정 시 사용하는 시트이며, 인력 기준 산정 시 견적서(인력) 시트를 사용함
   - 상기 금액은 부가가치세(VAT) 별도 금액임
   - 계약 조건은 계약서에 따름</t>
        </is>
      </c>
      <c r="C27" s="137" t="n"/>
      <c r="D27" s="137" t="n"/>
      <c r="E27" s="137" t="n"/>
      <c r="F27" s="137" t="n"/>
      <c r="G27" s="137" t="n"/>
      <c r="H27" s="137" t="n"/>
      <c r="I27" s="137" t="n"/>
      <c r="J27" s="146" t="n"/>
    </row>
    <row r="28" ht="28.5" customHeight="1" s="72">
      <c r="B28" s="141" t="n"/>
      <c r="C28" s="142" t="n"/>
      <c r="D28" s="142" t="n"/>
      <c r="E28" s="142" t="n"/>
      <c r="F28" s="142" t="n"/>
      <c r="G28" s="142" t="n"/>
      <c r="H28" s="142" t="n"/>
      <c r="I28" s="142" t="n"/>
      <c r="J28" s="147" t="n"/>
    </row>
    <row r="29" ht="10.5" customHeight="1" s="72">
      <c r="B29" s="148" t="n"/>
      <c r="C29" s="148" t="n"/>
      <c r="D29" s="148" t="n"/>
      <c r="E29" s="148" t="n"/>
      <c r="F29" s="148" t="n"/>
      <c r="G29" s="81" t="n"/>
      <c r="H29" s="148" t="n"/>
      <c r="I29" s="148" t="n"/>
      <c r="J29" s="148" t="n"/>
    </row>
    <row r="30" ht="7.5" customHeight="1" s="72"/>
    <row r="32" ht="12" customHeight="1" s="72">
      <c r="I32" s="149" t="n"/>
    </row>
    <row r="33" ht="12" customHeight="1" s="72">
      <c r="I33" s="149" t="n"/>
    </row>
    <row r="34" ht="12" customHeight="1" s="72">
      <c r="I34" s="150" t="n"/>
    </row>
  </sheetData>
  <mergeCells count="17">
    <mergeCell ref="B23:E23"/>
    <mergeCell ref="B17:B19"/>
    <mergeCell ref="C21:D21"/>
    <mergeCell ref="I25:I26"/>
    <mergeCell ref="F25:F26"/>
    <mergeCell ref="C15:D15"/>
    <mergeCell ref="B1:J1"/>
    <mergeCell ref="G25:G26"/>
    <mergeCell ref="C22:D22"/>
    <mergeCell ref="B24:E24"/>
    <mergeCell ref="B20:E20"/>
    <mergeCell ref="B25:E26"/>
    <mergeCell ref="B27:J28"/>
    <mergeCell ref="H25:H26"/>
    <mergeCell ref="B4:F5"/>
    <mergeCell ref="B16:J16"/>
    <mergeCell ref="C17:D19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:language xmlns:dc="http://purl.org/dc/elements/1.1/">en-US</dc:language>
  <dcterms:created xmlns:dcterms="http://purl.org/dc/terms/" xmlns:xsi="http://www.w3.org/2001/XMLSchema-instance" xsi:type="dcterms:W3CDTF">2017-09-22T16:10:28Z</dcterms:created>
  <dcterms:modified xmlns:dcterms="http://purl.org/dc/terms/" xmlns:xsi="http://www.w3.org/2001/XMLSchema-instance" xsi:type="dcterms:W3CDTF">2026-07-30T23:57:20Z</dcterms:modified>
  <cp:lastModifiedBy>주경지채</cp:lastModifiedBy>
  <cp:revision>0</cp:revision>
  <cp:lastPrinted>2026-04-20T21:05:41Z</cp:lastPrinted>
</cp:coreProperties>
</file>