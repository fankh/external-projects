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(인력)" sheetId="1" state="visible" r:id="rId1"/>
    <sheet xmlns:r="http://schemas.openxmlformats.org/officeDocument/2006/relationships" name="견적서(업무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맑은 고딕"/>
      <b val="1"/>
      <sz val="22"/>
    </font>
    <font>
      <name val="맑은 고딕"/>
      <b val="1"/>
      <sz val="12"/>
    </font>
    <font>
      <name val="맑은 고딕"/>
      <sz val="10"/>
    </font>
    <font>
      <name val="맑은 고딕"/>
      <b val="1"/>
      <sz val="10"/>
    </font>
    <font>
      <name val="맑은 고딕"/>
      <b val="1"/>
      <sz val="11"/>
    </font>
    <font>
      <name val="맑은 고딕"/>
      <b val="1"/>
      <sz val="9"/>
    </font>
    <font>
      <name val="맑은 고딕"/>
      <sz val="9"/>
    </font>
  </fonts>
  <fills count="3">
    <fill>
      <patternFill/>
    </fill>
    <fill>
      <patternFill patternType="gray125"/>
    </fill>
    <fill>
      <patternFill patternType="solid">
        <fgColor rgb="00EEF2F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2" customWidth="1" min="3" max="3"/>
    <col width="16" customWidth="1" min="4" max="4"/>
    <col width="34" customWidth="1" min="5" max="5"/>
    <col width="7" customWidth="1" min="6" max="6"/>
    <col width="12" customWidth="1" min="7" max="7"/>
    <col width="8" customWidth="1" min="8" max="8"/>
    <col width="13" customWidth="1" min="9" max="9"/>
    <col width="10" customWidth="1" min="10" max="10"/>
    <col width="12" customWidth="1" min="11" max="11"/>
  </cols>
  <sheetData>
    <row r="1" ht="24" customHeight="1">
      <c r="B1" s="1" t="inlineStr">
        <is>
          <t>견    적    서</t>
        </is>
      </c>
    </row>
    <row r="2" ht="24" customHeight="1"/>
    <row r="4">
      <c r="B4" s="2" t="inlineStr">
        <is>
          <t>(수신처) 귀중</t>
        </is>
      </c>
    </row>
    <row r="6">
      <c r="B6" s="3" t="inlineStr">
        <is>
          <t>견  적  명 : (과업명)</t>
        </is>
      </c>
      <c r="I6" s="4" t="inlineStr">
        <is>
          <t>주식회사 씨커스 (Seekers Inc.)</t>
        </is>
      </c>
    </row>
    <row r="7">
      <c r="B7" s="3" t="inlineStr">
        <is>
          <t xml:space="preserve">참       조 : </t>
        </is>
      </c>
      <c r="I7" s="3" t="inlineStr">
        <is>
          <t>대 표 이 사 : 최  경  호 (직인생략)</t>
        </is>
      </c>
    </row>
    <row r="8">
      <c r="B8" s="3" t="inlineStr">
        <is>
          <t>견 적 일 자 : 20    년    월    일</t>
        </is>
      </c>
      <c r="I8" s="3" t="inlineStr">
        <is>
          <t>전       화 : 02) 2039-8160</t>
        </is>
      </c>
    </row>
    <row r="9">
      <c r="B9" s="3" t="inlineStr">
        <is>
          <t>유 효 기 간 : 견적일로부터 30일</t>
        </is>
      </c>
      <c r="I9" s="3" t="inlineStr">
        <is>
          <t>팩       스 : 02) 2039-8161</t>
        </is>
      </c>
    </row>
    <row r="10">
      <c r="B10" s="3" t="inlineStr">
        <is>
          <t>견 적 번 호 : SKS-YYYYMMDD-NN</t>
        </is>
      </c>
      <c r="I10" s="3" t="inlineStr">
        <is>
          <t>주       소 : 경상북도 포항시 북구 흥해읍 융합기술로66,</t>
        </is>
      </c>
    </row>
    <row r="11">
      <c r="I11" s="3" t="inlineStr">
        <is>
          <t xml:space="preserve">                포항지식산업센터 408~409호</t>
        </is>
      </c>
    </row>
    <row r="12">
      <c r="B12" s="3" t="inlineStr">
        <is>
          <t>아래와 같이 견적합니다.</t>
        </is>
      </c>
    </row>
    <row r="14">
      <c r="B14" s="5" t="inlineStr">
        <is>
          <t>최종 견적 금액 : 일금                          원 정(₩              ) (VAT 별도)</t>
        </is>
      </c>
    </row>
    <row r="15">
      <c r="B15" s="6" t="inlineStr">
        <is>
          <t>SEQ</t>
        </is>
      </c>
      <c r="C15" s="6" t="inlineStr">
        <is>
          <t>구분</t>
        </is>
      </c>
      <c r="D15" s="7" t="n"/>
      <c r="E15" s="6" t="inlineStr">
        <is>
          <t>세부내용</t>
        </is>
      </c>
      <c r="F15" s="6" t="inlineStr">
        <is>
          <t>인원</t>
        </is>
      </c>
      <c r="G15" s="6" t="inlineStr">
        <is>
          <t>단가</t>
        </is>
      </c>
      <c r="H15" s="6" t="inlineStr">
        <is>
          <t>투입월</t>
        </is>
      </c>
      <c r="I15" s="6" t="inlineStr">
        <is>
          <t>금액</t>
        </is>
      </c>
      <c r="J15" s="6" t="inlineStr">
        <is>
          <t>할인금액</t>
        </is>
      </c>
      <c r="K15" s="6" t="inlineStr">
        <is>
          <t>비고</t>
        </is>
      </c>
    </row>
    <row r="16">
      <c r="B16" s="8" t="inlineStr">
        <is>
          <t>(과업명)</t>
        </is>
      </c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B17" s="10" t="n">
        <v>1</v>
      </c>
      <c r="C17" s="10" t="inlineStr">
        <is>
          <t>인력 투입</t>
        </is>
      </c>
      <c r="D17" s="11" t="inlineStr">
        <is>
          <t>IT기획자</t>
        </is>
      </c>
      <c r="E17" s="11" t="inlineStr">
        <is>
          <t>- 정보기술기획</t>
        </is>
      </c>
      <c r="F17" s="12" t="n"/>
      <c r="G17" s="13" t="n">
        <v>11853218</v>
      </c>
      <c r="H17" s="12" t="n"/>
      <c r="I17" s="13">
        <f>IF(OR(F17="",H17=""),"",G17*H17)</f>
        <v/>
      </c>
      <c r="J17" s="13" t="n">
        <v>0</v>
      </c>
      <c r="K17" s="10" t="inlineStr"/>
    </row>
    <row r="18">
      <c r="B18" s="10" t="inlineStr"/>
      <c r="C18" s="10" t="inlineStr"/>
      <c r="D18" s="11" t="inlineStr">
        <is>
          <t>응용SW개발자</t>
        </is>
      </c>
      <c r="E18" s="11" t="inlineStr">
        <is>
          <t>- 응용SW개발</t>
        </is>
      </c>
      <c r="F18" s="12" t="n"/>
      <c r="G18" s="13" t="n">
        <v>7754124</v>
      </c>
      <c r="H18" s="12" t="n"/>
      <c r="I18" s="13">
        <f>IF(OR(F18="",H18=""),"",G18*H18)</f>
        <v/>
      </c>
      <c r="J18" s="13" t="n">
        <v>0</v>
      </c>
      <c r="K18" s="10" t="inlineStr"/>
    </row>
    <row r="19">
      <c r="B19" s="10" t="inlineStr"/>
      <c r="C19" s="10" t="inlineStr"/>
      <c r="D19" s="11" t="inlineStr">
        <is>
          <t>시스템SW개발자</t>
        </is>
      </c>
      <c r="E19" s="11" t="inlineStr">
        <is>
          <t>- 시스템SW개발</t>
        </is>
      </c>
      <c r="F19" s="12" t="n"/>
      <c r="G19" s="13" t="n">
        <v>5840196</v>
      </c>
      <c r="H19" s="12" t="n"/>
      <c r="I19" s="13">
        <f>IF(OR(F19="",H19=""),"",G19*H19)</f>
        <v/>
      </c>
      <c r="J19" s="13" t="n">
        <v>0</v>
      </c>
      <c r="K19" s="10" t="inlineStr"/>
    </row>
    <row r="20">
      <c r="B20" s="10" t="inlineStr"/>
      <c r="C20" s="10" t="inlineStr"/>
      <c r="D20" s="11" t="inlineStr">
        <is>
          <t>정보시스템운용자</t>
        </is>
      </c>
      <c r="E20" s="11" t="inlineStr">
        <is>
          <t>- 빅데이터엔지니어</t>
        </is>
      </c>
      <c r="F20" s="12" t="n"/>
      <c r="G20" s="13" t="n">
        <v>10649117</v>
      </c>
      <c r="H20" s="12" t="n"/>
      <c r="I20" s="13">
        <f>IF(OR(F20="",H20=""),"",G20*H20)</f>
        <v/>
      </c>
      <c r="J20" s="13" t="n">
        <v>0</v>
      </c>
      <c r="K20" s="10" t="inlineStr"/>
    </row>
    <row r="21">
      <c r="B21" s="10" t="inlineStr"/>
      <c r="C21" s="10" t="inlineStr"/>
      <c r="D21" s="11" t="inlineStr">
        <is>
          <t>UI/UX기획/개발자</t>
        </is>
      </c>
      <c r="E21" s="11" t="inlineStr">
        <is>
          <t>- UI/UX기획, 개발</t>
        </is>
      </c>
      <c r="F21" s="12" t="n"/>
      <c r="G21" s="13" t="n">
        <v>6901660</v>
      </c>
      <c r="H21" s="12" t="n"/>
      <c r="I21" s="13">
        <f>IF(OR(F21="",H21=""),"",G21*H21)</f>
        <v/>
      </c>
      <c r="J21" s="13" t="n">
        <v>0</v>
      </c>
      <c r="K21" s="10" t="inlineStr"/>
    </row>
    <row r="22">
      <c r="B22" s="10" t="inlineStr"/>
      <c r="C22" s="10" t="inlineStr"/>
      <c r="D22" s="11" t="inlineStr">
        <is>
          <t>IT품질관리자</t>
        </is>
      </c>
      <c r="E22" s="11" t="inlineStr">
        <is>
          <t>- 품질관리, 테스트</t>
        </is>
      </c>
      <c r="F22" s="12" t="n"/>
      <c r="G22" s="13" t="n">
        <v>11042071</v>
      </c>
      <c r="H22" s="12" t="n"/>
      <c r="I22" s="13">
        <f>IF(OR(F22="",H22=""),"",G22*H22)</f>
        <v/>
      </c>
      <c r="J22" s="13" t="n">
        <v>0</v>
      </c>
      <c r="K22" s="10" t="inlineStr"/>
    </row>
    <row r="23">
      <c r="B23" s="10" t="inlineStr"/>
      <c r="C23" s="10" t="inlineStr"/>
      <c r="D23" s="11" t="inlineStr">
        <is>
          <t>정보보안전문가</t>
        </is>
      </c>
      <c r="E23" s="11" t="inlineStr">
        <is>
          <t>- 정보보호관리, 침해대응 테스트</t>
        </is>
      </c>
      <c r="F23" s="12" t="n"/>
      <c r="G23" s="13" t="n">
        <v>10411680</v>
      </c>
      <c r="H23" s="12" t="n"/>
      <c r="I23" s="13">
        <f>IF(OR(F23="",H23=""),"",G23*H23)</f>
        <v/>
      </c>
      <c r="J23" s="13" t="n">
        <v>0</v>
      </c>
      <c r="K23" s="10" t="inlineStr"/>
    </row>
    <row r="24">
      <c r="B24" s="14" t="inlineStr">
        <is>
          <t>소계</t>
        </is>
      </c>
      <c r="C24" s="9" t="n"/>
      <c r="D24" s="9" t="n"/>
      <c r="E24" s="9" t="n"/>
      <c r="F24" s="10" t="inlineStr">
        <is>
          <t>-</t>
        </is>
      </c>
      <c r="G24" s="10" t="inlineStr">
        <is>
          <t>-</t>
        </is>
      </c>
      <c r="H24" s="10">
        <f>SUM(H17:H23)</f>
        <v/>
      </c>
      <c r="I24" s="13">
        <f>SUM(I17:I23)</f>
        <v/>
      </c>
      <c r="J24" s="13">
        <f>SUM(J17:J23)</f>
        <v/>
      </c>
      <c r="K24" s="10" t="inlineStr"/>
    </row>
    <row r="25">
      <c r="B25" s="10" t="n">
        <v>2</v>
      </c>
      <c r="C25" s="10" t="inlineStr">
        <is>
          <t>재경비</t>
        </is>
      </c>
      <c r="D25" s="9" t="n"/>
      <c r="E25" s="11" t="inlineStr">
        <is>
          <t>- 제공 기술에 대한 일반 재경비</t>
        </is>
      </c>
      <c r="F25" s="10" t="inlineStr">
        <is>
          <t>-</t>
        </is>
      </c>
      <c r="G25" s="10" t="inlineStr">
        <is>
          <t>-</t>
        </is>
      </c>
      <c r="H25" s="10" t="inlineStr">
        <is>
          <t>-</t>
        </is>
      </c>
      <c r="I25" s="13" t="n">
        <v>0</v>
      </c>
      <c r="J25" s="13" t="n">
        <v>0</v>
      </c>
      <c r="K25" s="10" t="inlineStr"/>
    </row>
    <row r="26">
      <c r="B26" s="10" t="n">
        <v>3</v>
      </c>
      <c r="C26" s="10" t="inlineStr">
        <is>
          <t>기술료</t>
        </is>
      </c>
      <c r="D26" s="9" t="n"/>
      <c r="E26" s="11" t="inlineStr">
        <is>
          <t>- 제공 기술료</t>
        </is>
      </c>
      <c r="F26" s="10" t="inlineStr">
        <is>
          <t>-</t>
        </is>
      </c>
      <c r="G26" s="10" t="inlineStr">
        <is>
          <t>-</t>
        </is>
      </c>
      <c r="H26" s="10" t="inlineStr">
        <is>
          <t>-</t>
        </is>
      </c>
      <c r="I26" s="13" t="n">
        <v>0</v>
      </c>
      <c r="J26" s="13" t="n">
        <v>0</v>
      </c>
      <c r="K26" s="10" t="inlineStr"/>
    </row>
    <row r="27">
      <c r="B27" s="14" t="inlineStr">
        <is>
          <t>소계</t>
        </is>
      </c>
      <c r="C27" s="9" t="n"/>
      <c r="D27" s="9" t="n"/>
      <c r="E27" s="9" t="n"/>
      <c r="F27" s="10" t="inlineStr">
        <is>
          <t>-</t>
        </is>
      </c>
      <c r="G27" s="10" t="inlineStr">
        <is>
          <t>-</t>
        </is>
      </c>
      <c r="H27" s="10" t="inlineStr">
        <is>
          <t>-</t>
        </is>
      </c>
      <c r="I27" s="13">
        <f>SUM(I25:I26)</f>
        <v/>
      </c>
      <c r="J27" s="13">
        <f>SUM(J25:J26)</f>
        <v/>
      </c>
      <c r="K27" s="10" t="inlineStr"/>
    </row>
    <row r="28">
      <c r="B28" s="15" t="inlineStr">
        <is>
          <t>합       계</t>
        </is>
      </c>
      <c r="C28" s="9" t="n"/>
      <c r="D28" s="9" t="n"/>
      <c r="E28" s="9" t="n"/>
      <c r="F28" s="10" t="inlineStr">
        <is>
          <t>-</t>
        </is>
      </c>
      <c r="G28" s="10" t="inlineStr">
        <is>
          <t>-</t>
        </is>
      </c>
      <c r="H28" s="10" t="inlineStr">
        <is>
          <t>-</t>
        </is>
      </c>
      <c r="I28" s="16">
        <f>I24+I27</f>
        <v/>
      </c>
      <c r="J28" s="13">
        <f>J24+J27</f>
        <v/>
      </c>
      <c r="K28" s="10" t="inlineStr">
        <is>
          <t>VAT 별도</t>
        </is>
      </c>
    </row>
    <row r="30">
      <c r="B30" s="17" t="inlineStr">
        <is>
          <t>※ 비 고</t>
        </is>
      </c>
    </row>
    <row r="31">
      <c r="B31" s="18" t="inlineStr">
        <is>
          <t>1. 단가는 SW기술자 직무별 평균임금 체계를 따른 당사 표준 단가 기준임. (직무 행은 과업에 맞게 증감)</t>
        </is>
      </c>
    </row>
    <row r="32">
      <c r="B32" s="18" t="inlineStr">
        <is>
          <t>2. 상기 금액은 부가가치세(VAT) 별도 금액임.</t>
        </is>
      </c>
    </row>
    <row r="33">
      <c r="B33" s="18" t="inlineStr">
        <is>
          <t>3. 재경비·기술료는 협의에 따라 별도 산정함.</t>
        </is>
      </c>
    </row>
  </sheetData>
  <mergeCells count="12">
    <mergeCell ref="B1:K2"/>
    <mergeCell ref="B31:K31"/>
    <mergeCell ref="B27:E27"/>
    <mergeCell ref="B14:K14"/>
    <mergeCell ref="B32:K32"/>
    <mergeCell ref="C15:D15"/>
    <mergeCell ref="C25:D25"/>
    <mergeCell ref="B28:E28"/>
    <mergeCell ref="B33:K33"/>
    <mergeCell ref="B24:E24"/>
    <mergeCell ref="B16:K16"/>
    <mergeCell ref="C26:D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2" customWidth="1" min="4" max="4"/>
    <col width="36" customWidth="1" min="5" max="5"/>
    <col width="13" customWidth="1" min="6" max="6"/>
    <col width="9" customWidth="1" min="7" max="7"/>
    <col width="13" customWidth="1" min="8" max="8"/>
    <col width="10" customWidth="1" min="9" max="9"/>
    <col width="12" customWidth="1" min="10" max="10"/>
  </cols>
  <sheetData>
    <row r="1" ht="24" customHeight="1">
      <c r="B1" s="1" t="inlineStr">
        <is>
          <t>견    적    서</t>
        </is>
      </c>
    </row>
    <row r="2" ht="24" customHeight="1"/>
    <row r="4">
      <c r="B4" s="2" t="inlineStr">
        <is>
          <t>(수신처) 귀중</t>
        </is>
      </c>
    </row>
    <row r="6">
      <c r="B6" s="3" t="inlineStr">
        <is>
          <t>견  적  명 : (과업명)</t>
        </is>
      </c>
      <c r="H6" s="4" t="inlineStr">
        <is>
          <t>주식회사 씨커스 (Seekers Inc.)</t>
        </is>
      </c>
    </row>
    <row r="7">
      <c r="B7" s="3" t="inlineStr">
        <is>
          <t xml:space="preserve">참       조 : </t>
        </is>
      </c>
      <c r="H7" s="3" t="inlineStr">
        <is>
          <t>대 표 이 사 : 최  경  호 (직인생략)</t>
        </is>
      </c>
    </row>
    <row r="8">
      <c r="B8" s="3" t="inlineStr">
        <is>
          <t>견 적 일 자 : 20    년    월    일</t>
        </is>
      </c>
      <c r="H8" s="3" t="inlineStr">
        <is>
          <t>전       화 : 02) 2039-8160</t>
        </is>
      </c>
    </row>
    <row r="9">
      <c r="B9" s="3" t="inlineStr">
        <is>
          <t>유 효 기 간 : 견적일로부터 30일</t>
        </is>
      </c>
      <c r="H9" s="3" t="inlineStr">
        <is>
          <t>팩       스 : 02) 2039-8161</t>
        </is>
      </c>
    </row>
    <row r="10">
      <c r="B10" s="3" t="inlineStr">
        <is>
          <t>견 적 번 호 : SKS-YYYYMMDD-NN</t>
        </is>
      </c>
      <c r="H10" s="3" t="inlineStr">
        <is>
          <t>주       소 : 경상북도 포항시 북구 흥해읍 융합기술로66,</t>
        </is>
      </c>
    </row>
    <row r="11">
      <c r="H11" s="3" t="inlineStr">
        <is>
          <t xml:space="preserve">                포항지식산업센터 408~409호</t>
        </is>
      </c>
    </row>
    <row r="12">
      <c r="B12" s="3" t="inlineStr">
        <is>
          <t>아래와 같이 견적합니다.</t>
        </is>
      </c>
    </row>
    <row r="14">
      <c r="B14" s="5" t="inlineStr">
        <is>
          <t>최종 견적 금액 : 일금                          원 정(₩              ) (VAT 별도)</t>
        </is>
      </c>
    </row>
    <row r="15">
      <c r="B15" s="6" t="inlineStr">
        <is>
          <t>SEQ</t>
        </is>
      </c>
      <c r="C15" s="6" t="inlineStr">
        <is>
          <t>구분</t>
        </is>
      </c>
      <c r="D15" s="7" t="n"/>
      <c r="E15" s="6" t="inlineStr">
        <is>
          <t>세부내용</t>
        </is>
      </c>
      <c r="F15" s="6" t="inlineStr">
        <is>
          <t>단가</t>
        </is>
      </c>
      <c r="G15" s="6" t="inlineStr">
        <is>
          <t>모듈(식)</t>
        </is>
      </c>
      <c r="H15" s="6" t="inlineStr">
        <is>
          <t>금액</t>
        </is>
      </c>
      <c r="I15" s="6" t="inlineStr">
        <is>
          <t>할인금액</t>
        </is>
      </c>
      <c r="J15" s="6" t="inlineStr">
        <is>
          <t>비고</t>
        </is>
      </c>
    </row>
    <row r="16">
      <c r="B16" s="8" t="inlineStr">
        <is>
          <t>(과업명)</t>
        </is>
      </c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B17" s="10" t="n">
        <v>1</v>
      </c>
      <c r="C17" s="11" t="inlineStr">
        <is>
          <t>(업무 모듈명)</t>
        </is>
      </c>
      <c r="D17" s="9" t="n"/>
      <c r="E17" s="11" t="inlineStr">
        <is>
          <t>- (세부 업무 내용)</t>
        </is>
      </c>
      <c r="F17" s="13" t="n"/>
      <c r="G17" s="12" t="n"/>
      <c r="H17" s="13">
        <f>IF(OR(F17="",G17=""),"",F17*G17)</f>
        <v/>
      </c>
      <c r="I17" s="13" t="n">
        <v>0</v>
      </c>
      <c r="J17" s="10" t="inlineStr"/>
    </row>
    <row r="18">
      <c r="B18" s="10" t="inlineStr"/>
      <c r="C18" s="11" t="inlineStr"/>
      <c r="D18" s="9" t="n"/>
      <c r="E18" s="11" t="inlineStr">
        <is>
          <t>- (세부 업무 내용)</t>
        </is>
      </c>
      <c r="F18" s="13" t="n"/>
      <c r="G18" s="12" t="n"/>
      <c r="H18" s="13">
        <f>IF(OR(F18="",G18=""),"",F18*G18)</f>
        <v/>
      </c>
      <c r="I18" s="13" t="n">
        <v>0</v>
      </c>
      <c r="J18" s="10" t="inlineStr"/>
    </row>
    <row r="19">
      <c r="B19" s="10" t="inlineStr"/>
      <c r="C19" s="11" t="inlineStr"/>
      <c r="D19" s="9" t="n"/>
      <c r="E19" s="11" t="inlineStr">
        <is>
          <t>- (세부 업무 내용)</t>
        </is>
      </c>
      <c r="F19" s="13" t="n"/>
      <c r="G19" s="12" t="n"/>
      <c r="H19" s="13">
        <f>IF(OR(F19="",G19=""),"",F19*G19)</f>
        <v/>
      </c>
      <c r="I19" s="13" t="n">
        <v>0</v>
      </c>
      <c r="J19" s="10" t="inlineStr"/>
    </row>
    <row r="20">
      <c r="B20" s="14" t="inlineStr">
        <is>
          <t>소계</t>
        </is>
      </c>
      <c r="C20" s="9" t="n"/>
      <c r="D20" s="9" t="n"/>
      <c r="E20" s="9" t="n"/>
      <c r="F20" s="10" t="inlineStr">
        <is>
          <t>-</t>
        </is>
      </c>
      <c r="G20" s="10" t="inlineStr">
        <is>
          <t>-</t>
        </is>
      </c>
      <c r="H20" s="13">
        <f>SUM(H17:H19)</f>
        <v/>
      </c>
      <c r="I20" s="13">
        <f>SUM(I17:I19)</f>
        <v/>
      </c>
      <c r="J20" s="10" t="inlineStr"/>
    </row>
    <row r="21">
      <c r="B21" s="10" t="n">
        <v>2</v>
      </c>
      <c r="C21" s="10" t="inlineStr">
        <is>
          <t>재경비</t>
        </is>
      </c>
      <c r="D21" s="9" t="n"/>
      <c r="E21" s="11" t="inlineStr">
        <is>
          <t xml:space="preserve">- </t>
        </is>
      </c>
      <c r="F21" s="10" t="inlineStr">
        <is>
          <t>-</t>
        </is>
      </c>
      <c r="G21" s="10" t="inlineStr">
        <is>
          <t>-</t>
        </is>
      </c>
      <c r="H21" s="13" t="n">
        <v>0</v>
      </c>
      <c r="I21" s="13" t="n">
        <v>0</v>
      </c>
      <c r="J21" s="10" t="inlineStr"/>
    </row>
    <row r="22">
      <c r="B22" s="10" t="n">
        <v>3</v>
      </c>
      <c r="C22" s="10" t="inlineStr">
        <is>
          <t>기술료</t>
        </is>
      </c>
      <c r="D22" s="9" t="n"/>
      <c r="E22" s="11" t="inlineStr">
        <is>
          <t xml:space="preserve">- </t>
        </is>
      </c>
      <c r="F22" s="10" t="inlineStr">
        <is>
          <t>-</t>
        </is>
      </c>
      <c r="G22" s="10" t="inlineStr">
        <is>
          <t>-</t>
        </is>
      </c>
      <c r="H22" s="13" t="n">
        <v>0</v>
      </c>
      <c r="I22" s="13" t="n">
        <v>0</v>
      </c>
      <c r="J22" s="10" t="inlineStr"/>
    </row>
    <row r="23">
      <c r="B23" s="15" t="inlineStr">
        <is>
          <t>합       계</t>
        </is>
      </c>
      <c r="C23" s="9" t="n"/>
      <c r="D23" s="9" t="n"/>
      <c r="E23" s="9" t="n"/>
      <c r="F23" s="10" t="inlineStr">
        <is>
          <t>-</t>
        </is>
      </c>
      <c r="G23" s="10" t="inlineStr">
        <is>
          <t>-</t>
        </is>
      </c>
      <c r="H23" s="16">
        <f>H20+H21+H22</f>
        <v/>
      </c>
      <c r="I23" s="13">
        <f>I20+I21+I22</f>
        <v/>
      </c>
      <c r="J23" s="10" t="inlineStr">
        <is>
          <t>VAT 별도</t>
        </is>
      </c>
    </row>
  </sheetData>
  <mergeCells count="11">
    <mergeCell ref="B20:E20"/>
    <mergeCell ref="B23:E23"/>
    <mergeCell ref="C21:D21"/>
    <mergeCell ref="B1:J2"/>
    <mergeCell ref="C15:D15"/>
    <mergeCell ref="B14:J14"/>
    <mergeCell ref="C19:D19"/>
    <mergeCell ref="C22:D22"/>
    <mergeCell ref="C18:D18"/>
    <mergeCell ref="C17:D17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2026-07-30T23:36:32Z</dcterms:created>
  <dcterms:modified xmlns:dcterms="http://purl.org/dc/terms/" xmlns:xsi="http://www.w3.org/2001/XMLSchema-instance" xsi:type="dcterms:W3CDTF">2026-07-30T23:36:32Z</dcterms:modified>
</cp:coreProperties>
</file>