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견적서(업무)" sheetId="1" state="visible" r:id="rId1"/>
  </sheets>
  <definedNames>
    <definedName name="_xlnm.Print_Area" localSheetId="0">'견적서(업무)'!$A$1:$K$30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23">
    <font>
      <name val="돋움"/>
      <charset val="129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굴림체"/>
      <charset val="129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34"/>
      <u val="single"/>
    </font>
    <font>
      <name val="굴림체"/>
      <charset val="129"/>
      <family val="3"/>
      <b val="1"/>
      <sz val="24"/>
      <u val="single"/>
    </font>
    <font>
      <name val="굴림체"/>
      <charset val="129"/>
      <family val="3"/>
      <b val="1"/>
      <sz val="24"/>
    </font>
    <font>
      <name val="굴림체"/>
      <charset val="129"/>
      <family val="3"/>
      <b val="1"/>
      <color rgb="FF000000"/>
      <sz val="18"/>
      <u val="single"/>
    </font>
    <font>
      <name val="굴림체"/>
      <charset val="129"/>
      <family val="3"/>
      <sz val="12"/>
    </font>
    <font>
      <name val="굴림체"/>
      <charset val="129"/>
      <family val="3"/>
      <color rgb="FF000000"/>
      <sz val="12"/>
    </font>
    <font>
      <name val="굴림체"/>
      <charset val="129"/>
      <family val="3"/>
      <b val="1"/>
      <sz val="12"/>
    </font>
    <font>
      <name val="굴림체"/>
      <charset val="129"/>
      <family val="3"/>
      <sz val="8"/>
    </font>
    <font>
      <name val="굴림체"/>
      <charset val="129"/>
      <family val="3"/>
      <b val="1"/>
      <sz val="14"/>
      <u val="single"/>
    </font>
    <font>
      <name val="굴림체"/>
      <charset val="129"/>
      <family val="3"/>
      <sz val="10"/>
      <u val="single"/>
    </font>
    <font>
      <name val="굴림체"/>
      <charset val="129"/>
      <family val="3"/>
      <color rgb="FFFFFFFF"/>
      <sz val="10"/>
    </font>
    <font>
      <name val="굴림체"/>
      <charset val="129"/>
      <family val="3"/>
      <b val="1"/>
      <color rgb="FFFFFFFF"/>
      <sz val="11"/>
    </font>
    <font>
      <name val="굴림체"/>
      <charset val="129"/>
      <family val="3"/>
      <b val="1"/>
      <color rgb="FF808080"/>
      <sz val="12"/>
    </font>
    <font>
      <name val="굴림체"/>
      <charset val="129"/>
      <family val="3"/>
      <color rgb="FF000000"/>
      <sz val="10"/>
    </font>
    <font>
      <name val="굴림체"/>
      <charset val="129"/>
      <family val="3"/>
      <color rgb="FF000000"/>
      <sz val="11"/>
    </font>
    <font>
      <name val="굴림체"/>
      <charset val="129"/>
      <family val="3"/>
      <color rgb="FFFFFFFF"/>
      <sz val="11"/>
    </font>
    <font>
      <name val="굴림체"/>
      <charset val="129"/>
      <family val="3"/>
      <strike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99CC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</fills>
  <borders count="43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thin"/>
      <right style="thin"/>
      <top style="thin"/>
      <bottom style="thin"/>
      <diagonal/>
    </border>
    <border>
      <left style="medium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medium"/>
      <top style="medium"/>
      <bottom/>
      <diagonal/>
    </border>
    <border>
      <left style="thin"/>
      <right style="medium"/>
      <top/>
      <bottom style="medium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 style="medium"/>
      <right/>
      <top/>
      <bottom style="medium"/>
      <diagonal/>
    </border>
    <border>
      <left style="thin"/>
      <right style="thin"/>
      <top/>
      <bottom style="medium"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164" fontId="0" fillId="0" borderId="0"/>
    <xf numFmtId="44" fontId="3" fillId="0" borderId="0"/>
    <xf numFmtId="42" fontId="3" fillId="0" borderId="0"/>
    <xf numFmtId="9" fontId="3" fillId="0" borderId="0"/>
  </cellStyleXfs>
  <cellXfs count="1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20" fillId="4" borderId="13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4" fillId="4" borderId="10" applyAlignment="1" pivotButton="0" quotePrefix="0" xfId="16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0" fillId="0" borderId="24" pivotButton="0" quotePrefix="0" xfId="0"/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30" pivotButton="0" quotePrefix="0" xfId="0"/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0" fillId="0" borderId="9" pivotButton="0" quotePrefix="0" xfId="0"/>
    <xf numFmtId="0" fontId="0" fillId="0" borderId="10" pivotButton="0" quotePrefix="0" xfId="0"/>
    <xf numFmtId="0" fontId="20" fillId="4" borderId="13" applyAlignment="1" pivotButton="0" quotePrefix="0" xfId="0">
      <alignment horizontal="center" vertical="center" wrapText="1"/>
    </xf>
    <xf numFmtId="0" fontId="0" fillId="0" borderId="32" pivotButton="0" quotePrefix="0" xfId="0"/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34" pivotButton="0" quotePrefix="0" xfId="0"/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0" fillId="0" borderId="35" pivotButton="0" quotePrefix="0" xfId="0"/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0" fontId="0" fillId="0" borderId="22" pivotButton="0" quotePrefix="0" xfId="0"/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1" pivotButton="0" quotePrefix="0" xfId="0"/>
    <xf numFmtId="0" fontId="0" fillId="0" borderId="37" pivotButton="0" quotePrefix="0" xfId="0"/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39" pivotButton="0" quotePrefix="0" xfId="0"/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33" pivotButton="0" quotePrefix="0" xfId="0"/>
    <xf numFmtId="164" fontId="4" fillId="4" borderId="10" applyAlignment="1" pivotButton="0" quotePrefix="0" xfId="16">
      <alignment horizontal="center" vertical="center" wrapText="1"/>
    </xf>
    <xf numFmtId="0" fontId="0" fillId="0" borderId="2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</col>
      <colOff>43200</colOff>
      <row>3</row>
      <rowOff>37440</rowOff>
    </from>
    <to>
      <col>8</col>
      <colOff>879840</colOff>
      <row>5</row>
      <rowOff>47160</rowOff>
    </to>
    <pic>
      <nvPicPr>
        <cNvPr id="2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6203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34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3"/>
    <col width="9.43" customWidth="1" style="70" min="4" max="4"/>
    <col width="26.43" customWidth="1" style="70" min="5" max="5"/>
    <col width="13.32" customWidth="1" style="70" min="6" max="6"/>
    <col width="10.55" customWidth="1" style="71" min="7" max="7"/>
    <col width="13.32" customWidth="1" style="70" min="8" max="8"/>
    <col width="17.87" customWidth="1" style="70" min="9" max="9"/>
    <col width="16.77" customWidth="1" style="70" min="10" max="10"/>
    <col width="1.77" customWidth="1" style="70" min="11" max="11"/>
    <col width="8.869999999999999" customWidth="1" style="70" min="12" max="257"/>
  </cols>
  <sheetData>
    <row r="1" ht="43.5" customHeight="1" s="72">
      <c r="A1" s="73" t="n"/>
      <c r="B1" s="74" t="inlineStr">
        <is>
          <t>견    적    서</t>
        </is>
      </c>
      <c r="K1" s="73" t="n"/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5" t="n"/>
      <c r="G2" s="76" t="n"/>
      <c r="H2" s="75" t="n"/>
      <c r="I2" s="75" t="n"/>
      <c r="J2" s="77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5" t="n"/>
      <c r="G3" s="76" t="n"/>
      <c r="H3" s="75" t="n"/>
      <c r="I3" s="75" t="n"/>
      <c r="J3" s="77" t="n"/>
      <c r="K3" s="73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전자통관국제협력재단 귀중</t>
        </is>
      </c>
      <c r="G4" s="79" t="n"/>
      <c r="H4" s="80" t="n"/>
      <c r="I4" s="80" t="n"/>
      <c r="J4" s="80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G5" s="81" t="n"/>
      <c r="H5" s="73" t="n"/>
      <c r="I5" s="82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CUPIA AI 연구 과제 2026 — 과제 2 EWACS AI Agent 구축</t>
        </is>
      </c>
      <c r="C6" s="83" t="n"/>
      <c r="D6" s="83" t="n"/>
      <c r="E6" s="83" t="n"/>
      <c r="F6" s="83" t="n"/>
      <c r="G6" s="85" t="n"/>
      <c r="H6" s="86" t="inlineStr">
        <is>
          <t>주식회사 씨커스(Seekers Inc.)</t>
        </is>
      </c>
      <c r="I6" s="83" t="n"/>
      <c r="J6" s="83" t="n"/>
      <c r="K6" s="7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>참       조 : AI연구개발본부</t>
        </is>
      </c>
      <c r="C7" s="83" t="n"/>
      <c r="D7" s="83" t="n"/>
      <c r="E7" s="83" t="n"/>
      <c r="F7" s="83" t="n"/>
      <c r="G7" s="83" t="n"/>
      <c r="H7" s="83" t="inlineStr">
        <is>
          <t>대 표 이 사 : 최  경  호 (직인생략)</t>
        </is>
      </c>
      <c r="I7" s="83" t="n"/>
      <c r="J7" s="8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2026년 7월 31일</t>
        </is>
      </c>
      <c r="C8" s="83" t="n"/>
      <c r="D8" s="83" t="n"/>
      <c r="E8" s="83" t="n"/>
      <c r="F8" s="87" t="n"/>
      <c r="G8" s="85" t="n"/>
      <c r="H8" s="83" t="inlineStr">
        <is>
          <t>전       화 : 02) 2039-8160</t>
        </is>
      </c>
      <c r="I8" s="83" t="n"/>
      <c r="J8" s="8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7" t="n"/>
      <c r="G9" s="85" t="n"/>
      <c r="H9" s="83" t="inlineStr">
        <is>
          <t>팩       스 : 02) 2039-8161</t>
        </is>
      </c>
      <c r="I9" s="83" t="n"/>
      <c r="J9" s="8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SKS-20260731-01</t>
        </is>
      </c>
      <c r="C10" s="88" t="n"/>
      <c r="D10" s="88" t="n"/>
      <c r="E10" s="88" t="n"/>
      <c r="F10" s="88" t="n"/>
      <c r="G10" s="85" t="n"/>
      <c r="H10" s="88" t="inlineStr">
        <is>
          <t xml:space="preserve">주       소 : 경상북도 포항시 북구 흥해읍 융합기술로66, </t>
        </is>
      </c>
      <c r="I10" s="88" t="n"/>
      <c r="J10" s="85" t="n"/>
    </row>
    <row r="11" ht="14.25" customHeight="1" s="72">
      <c r="A11" s="88" t="n"/>
      <c r="B11" s="87" t="n"/>
      <c r="C11" s="88" t="n"/>
      <c r="D11" s="88" t="n"/>
      <c r="E11" s="88" t="n"/>
      <c r="F11" s="88" t="n"/>
      <c r="G11" s="85" t="n"/>
      <c r="H11" s="88" t="inlineStr">
        <is>
          <t xml:space="preserve">              포항지식산업센터 408~409호</t>
        </is>
      </c>
      <c r="I11" s="88" t="n"/>
      <c r="J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8" t="n"/>
      <c r="G12" s="85" t="n"/>
      <c r="H12" s="88" t="n"/>
      <c r="I12" s="88" t="n"/>
      <c r="J12" s="85" t="n"/>
    </row>
    <row r="13" ht="14.25" customHeight="1" s="72">
      <c r="B13" s="87" t="n"/>
      <c r="C13" s="70" t="n"/>
      <c r="D13" s="70" t="n"/>
      <c r="E13" s="70" t="n"/>
      <c r="F13" s="70" t="n"/>
      <c r="H13" s="70" t="n"/>
      <c r="I13" s="70" t="n"/>
      <c r="J13" s="71" t="n"/>
    </row>
    <row r="14" ht="36" customHeight="1" s="72">
      <c r="B14" s="89" t="inlineStr">
        <is>
          <t>최종 견적 금액 : 일금 이억이천만원 정(220,000,000원) (VAT 별도)</t>
        </is>
      </c>
      <c r="C14" s="90" t="n"/>
      <c r="D14" s="90" t="n"/>
      <c r="E14" s="90" t="n"/>
      <c r="I14" s="71" t="n"/>
      <c r="J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7" t="inlineStr">
        <is>
          <t>단가</t>
        </is>
      </c>
      <c r="G15" s="96" t="inlineStr">
        <is>
          <t>모듈(식)</t>
        </is>
      </c>
      <c r="H15" s="97" t="inlineStr">
        <is>
          <t>금액</t>
        </is>
      </c>
      <c r="I15" s="96" t="inlineStr">
        <is>
          <t>할인금액</t>
        </is>
      </c>
      <c r="J15" s="98" t="inlineStr">
        <is>
          <t>비고</t>
        </is>
      </c>
    </row>
    <row r="16" ht="39.95" customHeight="1" s="72">
      <c r="B16" s="99" t="inlineStr">
        <is>
          <t>CUPIA AI 연구 과제 2026 — 과제 2 : EWACS 복합 AI Agent 구축 (룰 기반 → AI Agent 전환)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1" t="n"/>
    </row>
    <row r="17" ht="69.95" customHeight="1" s="72">
      <c r="B17" s="123" t="n">
        <v>1</v>
      </c>
      <c r="C17" s="124" t="inlineStr">
        <is>
          <t>EWACS 복합 AI Agent 구축</t>
        </is>
      </c>
      <c r="D17" s="151" t="n"/>
      <c r="E17" s="105" t="inlineStr">
        <is>
          <t>- 요건 정의·아키텍처 설계 및 데이터 파이프라인 구축</t>
        </is>
      </c>
      <c r="F17" s="152" t="n">
        <v>33000000</v>
      </c>
      <c r="G17" s="103" t="n">
        <v>1</v>
      </c>
      <c r="H17" s="107">
        <f>F17*G17</f>
        <v/>
      </c>
      <c r="I17" s="108" t="n">
        <v>0</v>
      </c>
      <c r="J17" s="109" t="n"/>
    </row>
    <row r="18" ht="69.95" customHeight="1" s="72">
      <c r="B18" s="110" t="n"/>
      <c r="C18" s="153" t="n"/>
      <c r="D18" s="154" t="n"/>
      <c r="E18" s="105" t="inlineStr">
        <is>
          <t>- AI Agent 핵심 모듈 개발 (예측 엔진·동적 임계치·RCA·LLM 인사이트·대응 추천·알림 모듈화)</t>
        </is>
      </c>
      <c r="F18" s="152" t="n">
        <v>126000000</v>
      </c>
      <c r="G18" s="103" t="n">
        <v>1</v>
      </c>
      <c r="H18" s="107">
        <f>F18*G18</f>
        <v/>
      </c>
      <c r="I18" s="108" t="n">
        <v>0</v>
      </c>
      <c r="J18" s="109" t="n"/>
    </row>
    <row r="19" ht="69.95" customHeight="1" s="72">
      <c r="B19" s="115" t="n"/>
      <c r="C19" s="155" t="n"/>
      <c r="D19" s="156" t="n"/>
      <c r="E19" s="105" t="inlineStr">
        <is>
          <t>- 통합 계층 구축·EWACS 연동 통합 테스트 및 안정화·운영 전환</t>
        </is>
      </c>
      <c r="F19" s="152" t="n">
        <v>61000000</v>
      </c>
      <c r="G19" s="103" t="n">
        <v>1</v>
      </c>
      <c r="H19" s="107">
        <f>F19*G19</f>
        <v/>
      </c>
      <c r="I19" s="108" t="n">
        <v>0</v>
      </c>
      <c r="J19" s="109" t="n"/>
    </row>
    <row r="20" ht="39.95" customHeight="1" s="72">
      <c r="B20" s="117" t="inlineStr">
        <is>
          <t>소계</t>
        </is>
      </c>
      <c r="C20" s="118" t="n"/>
      <c r="D20" s="118" t="n"/>
      <c r="E20" s="118" t="n"/>
      <c r="F20" s="119" t="inlineStr">
        <is>
          <t>-</t>
        </is>
      </c>
      <c r="G20" s="119" t="inlineStr">
        <is>
          <t>-</t>
        </is>
      </c>
      <c r="H20" s="120">
        <f>SUM(H17:H19)</f>
        <v/>
      </c>
      <c r="I20" s="121">
        <f>H20</f>
        <v/>
      </c>
      <c r="J20" s="122" t="n"/>
    </row>
    <row r="21" ht="69.95" customHeight="1" s="72">
      <c r="B21" s="123" t="n">
        <v>2</v>
      </c>
      <c r="C21" s="124" t="inlineStr">
        <is>
          <t>재경비</t>
        </is>
      </c>
      <c r="D21" s="125" t="n"/>
      <c r="E21" s="126" t="inlineStr">
        <is>
          <t>- 제공 기술에 대한 일반 재경비</t>
        </is>
      </c>
      <c r="F21" s="124" t="inlineStr">
        <is>
          <t>-</t>
        </is>
      </c>
      <c r="G21" s="124" t="inlineStr">
        <is>
          <t>-</t>
        </is>
      </c>
      <c r="H21" s="127">
        <f>H20*0%</f>
        <v/>
      </c>
      <c r="I21" s="127" t="n"/>
      <c r="J21" s="128" t="n"/>
    </row>
    <row r="22" ht="69.95" customHeight="1" s="72">
      <c r="B22" s="102" t="n">
        <v>3</v>
      </c>
      <c r="C22" s="124" t="inlineStr">
        <is>
          <t>기술료</t>
        </is>
      </c>
      <c r="D22" s="125" t="n"/>
      <c r="E22" s="126" t="inlineStr">
        <is>
          <t>- 제공 기술료</t>
        </is>
      </c>
      <c r="F22" s="124" t="inlineStr">
        <is>
          <t>-</t>
        </is>
      </c>
      <c r="G22" s="103" t="inlineStr">
        <is>
          <t>-</t>
        </is>
      </c>
      <c r="H22" s="107">
        <f>(H20+H21)*0</f>
        <v/>
      </c>
      <c r="I22" s="107" t="n"/>
      <c r="J22" s="129" t="n"/>
    </row>
    <row r="23" ht="39.95" customHeight="1" s="72">
      <c r="B23" s="130" t="inlineStr">
        <is>
          <t>소계</t>
        </is>
      </c>
      <c r="C23" s="131" t="n"/>
      <c r="D23" s="131" t="n"/>
      <c r="E23" s="131" t="n"/>
      <c r="F23" s="119" t="inlineStr">
        <is>
          <t>-</t>
        </is>
      </c>
      <c r="G23" s="119" t="inlineStr">
        <is>
          <t>-</t>
        </is>
      </c>
      <c r="H23" s="120">
        <f>SUM(H21:H22)</f>
        <v/>
      </c>
      <c r="I23" s="121">
        <f>H23</f>
        <v/>
      </c>
      <c r="J23" s="122" t="n"/>
    </row>
    <row r="24" ht="39.95" customHeight="1" s="72">
      <c r="B24" s="132" t="inlineStr">
        <is>
          <t>합계</t>
        </is>
      </c>
      <c r="C24" s="100" t="n"/>
      <c r="D24" s="100" t="n"/>
      <c r="E24" s="100" t="n"/>
      <c r="F24" s="133" t="inlineStr">
        <is>
          <t>-</t>
        </is>
      </c>
      <c r="G24" s="133" t="inlineStr">
        <is>
          <t>-</t>
        </is>
      </c>
      <c r="H24" s="134">
        <f>H20+H23</f>
        <v/>
      </c>
      <c r="I24" s="134">
        <f>I20+I23</f>
        <v/>
      </c>
      <c r="J24" s="135" t="n"/>
    </row>
    <row r="25" ht="20.1" customHeight="1" s="72">
      <c r="B25" s="136" t="inlineStr">
        <is>
          <t>특별 견적 금액</t>
        </is>
      </c>
      <c r="C25" s="137" t="n"/>
      <c r="D25" s="137" t="n"/>
      <c r="E25" s="137" t="n"/>
      <c r="F25" s="93" t="n"/>
      <c r="G25" s="93" t="n"/>
      <c r="H25" s="138">
        <f>H24</f>
        <v/>
      </c>
      <c r="I25" s="139">
        <f>H24</f>
        <v/>
      </c>
      <c r="J25" s="140" t="inlineStr">
        <is>
          <t>*할인률</t>
        </is>
      </c>
    </row>
    <row r="26" ht="20.1" customHeight="1" s="72">
      <c r="B26" s="141" t="n"/>
      <c r="C26" s="142" t="n"/>
      <c r="D26" s="142" t="n"/>
      <c r="E26" s="142" t="n"/>
      <c r="F26" s="143" t="n"/>
      <c r="G26" s="143" t="n"/>
      <c r="H26" s="143" t="n"/>
      <c r="I26" s="143" t="n"/>
      <c r="J26" s="144">
        <f>100%-(I25/H25)</f>
        <v/>
      </c>
    </row>
    <row r="27" ht="36" customHeight="1" s="72">
      <c r="B27" s="145" t="inlineStr">
        <is>
          <t>※ 비 고
   - 본 견적은 과제 2(EWACS 복합 AI Agent 구축)의 모듈별 정액 산정안이며, 총액은 인력 기준 견적(_1)과 동일함 (모듈 금액에 재경비·기술료 포함)
   - 모듈 구분·배분은 협의용 안이며, 비용 산정 방식(M/M 기반 vs 모듈별 정액)은 과업지시서 14조에 따라 협의 후 확정함
   - 상기 금액은 부가가치세(VAT) 별도이며, 계약 조건은 계약서에 따름</t>
        </is>
      </c>
      <c r="C27" s="137" t="n"/>
      <c r="D27" s="137" t="n"/>
      <c r="E27" s="137" t="n"/>
      <c r="F27" s="137" t="n"/>
      <c r="G27" s="137" t="n"/>
      <c r="H27" s="137" t="n"/>
      <c r="I27" s="137" t="n"/>
      <c r="J27" s="146" t="n"/>
    </row>
    <row r="28" ht="36" customHeight="1" s="72">
      <c r="B28" s="141" t="n"/>
      <c r="C28" s="142" t="n"/>
      <c r="D28" s="142" t="n"/>
      <c r="E28" s="142" t="n"/>
      <c r="F28" s="142" t="n"/>
      <c r="G28" s="142" t="n"/>
      <c r="H28" s="142" t="n"/>
      <c r="I28" s="142" t="n"/>
      <c r="J28" s="147" t="n"/>
    </row>
    <row r="29" ht="10.5" customHeight="1" s="72">
      <c r="B29" s="148" t="n"/>
      <c r="C29" s="148" t="n"/>
      <c r="D29" s="148" t="n"/>
      <c r="E29" s="148" t="n"/>
      <c r="F29" s="148" t="n"/>
      <c r="G29" s="81" t="n"/>
      <c r="H29" s="148" t="n"/>
      <c r="I29" s="148" t="n"/>
      <c r="J29" s="148" t="n"/>
    </row>
    <row r="30" ht="7.5" customHeight="1" s="72"/>
    <row r="32" ht="12" customHeight="1" s="72">
      <c r="I32" s="149" t="n"/>
    </row>
    <row r="33" ht="12" customHeight="1" s="72">
      <c r="I33" s="149" t="n"/>
    </row>
    <row r="34" ht="12" customHeight="1" s="72">
      <c r="I34" s="150" t="n"/>
    </row>
  </sheetData>
  <mergeCells count="17">
    <mergeCell ref="B20:E20"/>
    <mergeCell ref="B23:E23"/>
    <mergeCell ref="B17:B19"/>
    <mergeCell ref="C21:D21"/>
    <mergeCell ref="I25:I26"/>
    <mergeCell ref="F25:F26"/>
    <mergeCell ref="C15:D15"/>
    <mergeCell ref="B1:J1"/>
    <mergeCell ref="C22:D22"/>
    <mergeCell ref="B24:E24"/>
    <mergeCell ref="G25:G26"/>
    <mergeCell ref="B25:E26"/>
    <mergeCell ref="B27:J28"/>
    <mergeCell ref="H25:H26"/>
    <mergeCell ref="B4:F5"/>
    <mergeCell ref="B16:J16"/>
    <mergeCell ref="C17:D19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:language xmlns:dc="http://purl.org/dc/elements/1.1/">en-US</dc:language>
  <dcterms:created xmlns:dcterms="http://purl.org/dc/terms/" xmlns:xsi="http://www.w3.org/2001/XMLSchema-instance" xsi:type="dcterms:W3CDTF">2017-09-22T16:10:28Z</dcterms:created>
  <dcterms:modified xmlns:dcterms="http://purl.org/dc/terms/" xmlns:xsi="http://www.w3.org/2001/XMLSchema-instance" xsi:type="dcterms:W3CDTF">2026-07-31T00:08:00Z</dcterms:modified>
  <cp:lastModifiedBy>주경지채</cp:lastModifiedBy>
  <cp:revision>0</cp:revision>
  <cp:lastPrinted>2026-04-20T21:05:41Z</cp:lastPrinted>
</cp:coreProperties>
</file>