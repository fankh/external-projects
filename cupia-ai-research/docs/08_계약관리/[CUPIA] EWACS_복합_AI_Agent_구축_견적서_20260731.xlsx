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인력)" sheetId="1" state="visible" r:id="rId1"/>
    <sheet xmlns:r="http://schemas.openxmlformats.org/officeDocument/2006/relationships" name="견적서(업무)" sheetId="2" state="visible" r:id="rId2"/>
  </sheets>
  <definedNames>
    <definedName name="_xlnm.Print_Area" localSheetId="0">'견적서(인력)'!$A$1:$L$34</definedName>
    <definedName name="_xlnm.Print_Area" localSheetId="1">'견적서(업무)'!$A$1:$K$30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8</col>
      <colOff>42840</colOff>
      <row>3</row>
      <rowOff>37440</rowOff>
    </from>
    <to>
      <col>9</col>
      <colOff>879840</colOff>
      <row>5</row>
      <rowOff>47160</rowOff>
    </to>
    <pic>
      <nvPicPr>
        <cNvPr id="1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341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43200</colOff>
      <row>3</row>
      <rowOff>37440</rowOff>
    </from>
    <to>
      <col>8</col>
      <colOff>879840</colOff>
      <row>5</row>
      <rowOff>47160</rowOff>
    </to>
    <pic>
      <nvPicPr>
        <cNvPr id="2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6203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2"/>
    <col width="5.99" customWidth="1" style="70" min="3" max="3"/>
    <col width="14.99" customWidth="1" style="70" min="4" max="4"/>
    <col width="26.43" customWidth="1" style="70" min="5" max="5"/>
    <col width="5.32" customWidth="1" style="71" min="6" max="6"/>
    <col width="13.32" customWidth="1" style="70" min="7" max="7"/>
    <col width="7.21" customWidth="1" style="71" min="8" max="8"/>
    <col width="13.32" customWidth="1" style="70" min="9" max="9"/>
    <col width="17.87" customWidth="1" style="70" min="10" max="10"/>
    <col width="16.77" customWidth="1" style="70" min="11" max="11"/>
    <col width="1.77" customWidth="1" style="70" min="12" max="12"/>
    <col width="8.869999999999999" customWidth="1" style="70" min="13" max="257"/>
  </cols>
  <sheetData>
    <row r="1" ht="43.5" customHeight="1" s="72">
      <c r="A1" s="73" t="n"/>
      <c r="B1" s="74" t="inlineStr">
        <is>
          <t>견    적    서</t>
        </is>
      </c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6" t="n"/>
      <c r="G2" s="75" t="n"/>
      <c r="H2" s="76" t="n"/>
      <c r="I2" s="75" t="n"/>
      <c r="J2" s="75" t="n"/>
      <c r="K2" s="77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6" t="n"/>
      <c r="G3" s="75" t="n"/>
      <c r="H3" s="76" t="n"/>
      <c r="I3" s="75" t="n"/>
      <c r="J3" s="75" t="n"/>
      <c r="K3" s="77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H4" s="79" t="n"/>
      <c r="I4" s="80" t="n"/>
      <c r="J4" s="80" t="n"/>
      <c r="K4" s="80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H5" s="81" t="n"/>
      <c r="I5" s="73" t="n"/>
      <c r="J5" s="82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5" t="n"/>
      <c r="G6" s="83" t="n"/>
      <c r="H6" s="85" t="n"/>
      <c r="I6" s="86" t="inlineStr">
        <is>
          <t>주식회사 씨커스(Seekers Inc.)</t>
        </is>
      </c>
      <c r="J6" s="83" t="n"/>
      <c r="K6" s="8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n"/>
      <c r="I7" s="83" t="inlineStr">
        <is>
          <t>대 표 이 사 : 최  경  호 (직인생략)</t>
        </is>
      </c>
      <c r="J7" s="83" t="n"/>
      <c r="K7" s="8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5" t="n"/>
      <c r="G8" s="87" t="n"/>
      <c r="H8" s="85" t="n"/>
      <c r="I8" s="83" t="inlineStr">
        <is>
          <t>전       화 : 02) 2039-8160</t>
        </is>
      </c>
      <c r="J8" s="83" t="n"/>
      <c r="K8" s="8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5" t="n"/>
      <c r="G9" s="87" t="n"/>
      <c r="H9" s="85" t="n"/>
      <c r="I9" s="83" t="inlineStr">
        <is>
          <t>팩       스 : 02) 2039-8161</t>
        </is>
      </c>
      <c r="J9" s="83" t="n"/>
      <c r="K9" s="8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5" t="n"/>
      <c r="G10" s="88" t="n"/>
      <c r="H10" s="85" t="n"/>
      <c r="I10" s="88" t="inlineStr">
        <is>
          <t xml:space="preserve">주       소 : 경상북도 포항시 북구 흥해읍 융합기술로66, </t>
        </is>
      </c>
      <c r="J10" s="88" t="n"/>
      <c r="K10" s="85" t="n"/>
    </row>
    <row r="11" ht="14.25" customHeight="1" s="72">
      <c r="A11" s="88" t="n"/>
      <c r="B11" s="87" t="n"/>
      <c r="C11" s="88" t="n"/>
      <c r="D11" s="88" t="n"/>
      <c r="E11" s="88" t="n"/>
      <c r="F11" s="85" t="n"/>
      <c r="G11" s="88" t="n"/>
      <c r="H11" s="85" t="n"/>
      <c r="I11" s="88" t="inlineStr">
        <is>
          <t xml:space="preserve">              포항지식산업센터 408~409호</t>
        </is>
      </c>
      <c r="J11" s="88" t="n"/>
      <c r="K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5" t="n"/>
      <c r="G12" s="88" t="n"/>
      <c r="H12" s="85" t="n"/>
      <c r="I12" s="88" t="n"/>
      <c r="J12" s="88" t="n"/>
      <c r="K12" s="85" t="n"/>
    </row>
    <row r="13" ht="14.25" customHeight="1" s="72">
      <c r="B13" s="87" t="n"/>
      <c r="C13" s="70" t="n"/>
      <c r="D13" s="70" t="n"/>
      <c r="E13" s="70" t="n"/>
      <c r="G13" s="70" t="n"/>
      <c r="I13" s="70" t="n"/>
      <c r="J13" s="70" t="n"/>
      <c r="K13" s="71" t="n"/>
    </row>
    <row r="14" ht="36" customHeight="1" s="72">
      <c r="B14" s="89" t="inlineStr">
        <is>
          <t>최종 견적 금액 : 일금 일억구천삼백사십팔만일천팔백팔원 정(193,481,808원) (VAT 별도)</t>
        </is>
      </c>
      <c r="C14" s="90" t="n"/>
      <c r="D14" s="90" t="n"/>
      <c r="E14" s="90" t="n"/>
      <c r="J14" s="71" t="n"/>
      <c r="K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6" t="inlineStr">
        <is>
          <t>인원</t>
        </is>
      </c>
      <c r="G15" s="97" t="inlineStr">
        <is>
          <t>단가</t>
        </is>
      </c>
      <c r="H15" s="96" t="inlineStr">
        <is>
          <t>투입월</t>
        </is>
      </c>
      <c r="I15" s="97" t="inlineStr">
        <is>
          <t>금액</t>
        </is>
      </c>
      <c r="J15" s="96" t="inlineStr">
        <is>
          <t>할인금액</t>
        </is>
      </c>
      <c r="K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1" t="n"/>
    </row>
    <row r="17" ht="57" customHeight="1" s="72">
      <c r="B17" s="102" t="n"/>
      <c r="C17" s="103" t="n"/>
      <c r="D17" s="104" t="inlineStr">
        <is>
          <t>AI 엔지니어</t>
        </is>
      </c>
      <c r="E17" s="105" t="inlineStr">
        <is>
          <t>- 예측 엔진·동적 임계치·원인 분석(RCA)·LLM 인사이트 모델링</t>
        </is>
      </c>
      <c r="F17" s="103" t="n">
        <v>1</v>
      </c>
      <c r="G17" s="106" t="n">
        <v>10649117</v>
      </c>
      <c r="H17" s="103" t="n">
        <v>7</v>
      </c>
      <c r="I17" s="107">
        <f>F17*G17*H17</f>
        <v/>
      </c>
      <c r="J17" s="108" t="n">
        <v>0</v>
      </c>
      <c r="K17" s="109" t="inlineStr">
        <is>
          <t>특급</t>
        </is>
      </c>
    </row>
    <row r="18" ht="57" customHeight="1" s="72">
      <c r="B18" s="110" t="n"/>
      <c r="C18" s="111" t="n"/>
      <c r="D18" s="112" t="inlineStr">
        <is>
          <t>백엔드 개발</t>
        </is>
      </c>
      <c r="E18" s="113" t="inlineStr">
        <is>
          <t>- Agent Core·Data Pipeline·통합 계층(REST API/Event Bus/Webhook) 개발</t>
        </is>
      </c>
      <c r="F18" s="103" t="n">
        <v>1</v>
      </c>
      <c r="G18" s="114" t="n">
        <v>7754124</v>
      </c>
      <c r="H18" s="103" t="n">
        <v>6</v>
      </c>
      <c r="I18" s="107">
        <f>F18*G18*H18</f>
        <v/>
      </c>
      <c r="J18" s="108" t="n">
        <v>0</v>
      </c>
      <c r="K18" s="109" t="inlineStr">
        <is>
          <t>고급</t>
        </is>
      </c>
    </row>
    <row r="19" ht="57" customHeight="1" s="72">
      <c r="B19" s="110" t="n"/>
      <c r="C19" s="111" t="n"/>
      <c r="D19" s="112" t="inlineStr">
        <is>
          <t>프론트엔드</t>
        </is>
      </c>
      <c r="E19" s="113" t="inlineStr">
        <is>
          <t>- EWACS Dashboard·Admin Console·알림 UI 개발</t>
        </is>
      </c>
      <c r="F19" s="103" t="n">
        <v>1</v>
      </c>
      <c r="G19" s="114" t="n">
        <v>6901660</v>
      </c>
      <c r="H19" s="103" t="n">
        <v>4</v>
      </c>
      <c r="I19" s="107">
        <f>F19*G19*H19</f>
        <v/>
      </c>
      <c r="J19" s="108" t="n">
        <v>0</v>
      </c>
      <c r="K19" s="109" t="inlineStr">
        <is>
          <t>중급</t>
        </is>
      </c>
    </row>
    <row r="20" ht="57" customHeight="1" s="72">
      <c r="B20" s="110" t="n"/>
      <c r="C20" s="111" t="n"/>
      <c r="D20" s="104" t="inlineStr">
        <is>
          <t>PM/QA</t>
        </is>
      </c>
      <c r="E20" s="105" t="inlineStr">
        <is>
          <t>- 사업 관리·품질 관리·통합 테스트</t>
        </is>
      </c>
      <c r="F20" s="103" t="n">
        <v>1</v>
      </c>
      <c r="G20" s="106" t="n">
        <v>11042071</v>
      </c>
      <c r="H20" s="103" t="n">
        <v>3</v>
      </c>
      <c r="I20" s="107">
        <f>F20*G20*H20</f>
        <v/>
      </c>
      <c r="J20" s="108" t="n">
        <v>0</v>
      </c>
      <c r="K20" s="109" t="inlineStr">
        <is>
          <t>고급</t>
        </is>
      </c>
    </row>
    <row r="21" ht="57" customHeight="1" s="72">
      <c r="B21" s="115" t="n"/>
      <c r="C21" s="116" t="n"/>
      <c r="D21" s="112" t="inlineStr">
        <is>
          <t>안정화 지원</t>
        </is>
      </c>
      <c r="E21" s="113" t="inlineStr">
        <is>
          <t>- 오탐 튜닝·운영 전환·운영자 교육</t>
        </is>
      </c>
      <c r="F21" s="103" t="n">
        <v>1</v>
      </c>
      <c r="G21" s="114" t="n">
        <v>5840196</v>
      </c>
      <c r="H21" s="103" t="n">
        <v>2</v>
      </c>
      <c r="I21" s="107">
        <f>F21*G21*H21</f>
        <v/>
      </c>
      <c r="J21" s="108" t="n">
        <v>0</v>
      </c>
      <c r="K21" s="109" t="inlineStr">
        <is>
          <t>고급</t>
        </is>
      </c>
    </row>
    <row r="22" ht="57" customHeight="1" s="72">
      <c r="B22" s="117" t="inlineStr">
        <is>
          <t>소계</t>
        </is>
      </c>
      <c r="C22" s="118" t="n"/>
      <c r="D22" s="118" t="n"/>
      <c r="E22" s="118" t="n"/>
      <c r="F22" s="119" t="inlineStr">
        <is>
          <t>-</t>
        </is>
      </c>
      <c r="G22" s="119" t="inlineStr">
        <is>
          <t>-</t>
        </is>
      </c>
      <c r="H22" s="119" t="inlineStr">
        <is>
          <t>-</t>
        </is>
      </c>
      <c r="I22" s="120">
        <f>SUM(I17:I21)</f>
        <v/>
      </c>
      <c r="J22" s="121" t="n">
        <v>0</v>
      </c>
      <c r="K22" s="122" t="n"/>
    </row>
    <row r="23" ht="57" customHeight="1" s="72">
      <c r="B23" s="123" t="n">
        <v>2</v>
      </c>
      <c r="C23" s="124" t="inlineStr">
        <is>
          <t>재경비</t>
        </is>
      </c>
      <c r="D23" s="125" t="n"/>
      <c r="E23" s="126" t="inlineStr">
        <is>
          <t>- 제공 기술에 대한 일반 재경비</t>
        </is>
      </c>
      <c r="F23" s="124" t="inlineStr">
        <is>
          <t>-</t>
        </is>
      </c>
      <c r="G23" s="124" t="inlineStr">
        <is>
          <t>-</t>
        </is>
      </c>
      <c r="H23" s="124" t="inlineStr">
        <is>
          <t>-</t>
        </is>
      </c>
      <c r="I23" s="127">
        <f>I22*0%</f>
        <v/>
      </c>
      <c r="J23" s="127" t="n"/>
      <c r="K23" s="128" t="n"/>
    </row>
    <row r="24" ht="39.95" customHeight="1" s="72">
      <c r="B24" s="102" t="n">
        <v>3</v>
      </c>
      <c r="C24" s="124" t="inlineStr">
        <is>
          <t>기술료</t>
        </is>
      </c>
      <c r="D24" s="125" t="n"/>
      <c r="E24" s="126" t="inlineStr">
        <is>
          <t>- 제공 기술료</t>
        </is>
      </c>
      <c r="F24" s="103" t="inlineStr">
        <is>
          <t>-</t>
        </is>
      </c>
      <c r="G24" s="124" t="inlineStr">
        <is>
          <t>-</t>
        </is>
      </c>
      <c r="H24" s="103" t="inlineStr">
        <is>
          <t>-</t>
        </is>
      </c>
      <c r="I24" s="107">
        <f>(I22+I23)*0</f>
        <v/>
      </c>
      <c r="J24" s="107" t="n"/>
      <c r="K24" s="129" t="n"/>
    </row>
    <row r="25" ht="39.95" customHeight="1" s="72">
      <c r="B25" s="130" t="inlineStr">
        <is>
          <t>소계</t>
        </is>
      </c>
      <c r="C25" s="131" t="n"/>
      <c r="D25" s="131" t="n"/>
      <c r="E25" s="131" t="n"/>
      <c r="F25" s="119" t="inlineStr">
        <is>
          <t>-</t>
        </is>
      </c>
      <c r="G25" s="119" t="inlineStr">
        <is>
          <t>-</t>
        </is>
      </c>
      <c r="H25" s="119" t="inlineStr">
        <is>
          <t>-</t>
        </is>
      </c>
      <c r="I25" s="120">
        <f>SUM(I23:I24)</f>
        <v/>
      </c>
      <c r="J25" s="121">
        <f>I25</f>
        <v/>
      </c>
      <c r="K25" s="122" t="n"/>
    </row>
    <row r="26" ht="39.95" customHeight="1" s="72">
      <c r="B26" s="132" t="inlineStr">
        <is>
          <t>합계</t>
        </is>
      </c>
      <c r="C26" s="100" t="n"/>
      <c r="D26" s="100" t="n"/>
      <c r="E26" s="100" t="n"/>
      <c r="F26" s="133" t="inlineStr">
        <is>
          <t>-</t>
        </is>
      </c>
      <c r="G26" s="133" t="inlineStr">
        <is>
          <t>-</t>
        </is>
      </c>
      <c r="H26" s="133" t="inlineStr">
        <is>
          <t>-</t>
        </is>
      </c>
      <c r="I26" s="134">
        <f>I22+I25</f>
        <v/>
      </c>
      <c r="J26" s="134">
        <f>J22+J25</f>
        <v/>
      </c>
      <c r="K26" s="135" t="n"/>
    </row>
    <row r="27" ht="39.95" customHeight="1" s="72">
      <c r="B27" s="136" t="inlineStr">
        <is>
          <t>특별 견적 금액</t>
        </is>
      </c>
      <c r="C27" s="137" t="n"/>
      <c r="D27" s="137" t="n"/>
      <c r="E27" s="137" t="n"/>
      <c r="F27" s="93" t="n"/>
      <c r="G27" s="93" t="n"/>
      <c r="H27" s="93" t="n"/>
      <c r="I27" s="138">
        <f>I26</f>
        <v/>
      </c>
      <c r="J27" s="139">
        <f>I26</f>
        <v/>
      </c>
      <c r="K27" s="140" t="inlineStr">
        <is>
          <t>*할인률</t>
        </is>
      </c>
    </row>
    <row r="28" ht="39.95" customHeight="1" s="72">
      <c r="B28" s="141" t="n"/>
      <c r="C28" s="142" t="n"/>
      <c r="D28" s="142" t="n"/>
      <c r="E28" s="142" t="n"/>
      <c r="F28" s="143" t="n"/>
      <c r="G28" s="143" t="n"/>
      <c r="H28" s="143" t="n"/>
      <c r="I28" s="143" t="n"/>
      <c r="J28" s="143" t="n"/>
      <c r="K28" s="144">
        <f>100%-(J27/I27)</f>
        <v/>
      </c>
    </row>
    <row r="29" ht="52" customHeight="1" s="72">
      <c r="B29" s="145" t="inlineStr">
        <is>
          <t>※ 비 고
   - 본 견적은 전자통관국제협력재단 'CUPIA AI 연구 과제 2026' 중 과제 2(EWACS 복합 AI Agent 구축, 총 22 M/M)에 한한 견적임 (과제 1 e-PASS AI 모델 상품화는 수행 완료로 제외)
   - 인원·투입월(M/M)은 과업지시서(CUPIA-AI-2026-SOW-001) 6.2 투입 인력 기준이며, 투입 시기는 계약 착수 시점에 따라 조정함
   - 단가는 SW기술자 직무별 평균임금 체계를 따른 당사 표준 단가 기준이며, 최종 단가는 예정가격 협의 시 조정 가능함
   - 상기 금액은 부가가치세(VAT) 별도이며, 재경비·기술료 및 계약보증금·검수·지급 방식 등 계약 조건은 계약서에 따름</t>
        </is>
      </c>
      <c r="C29" s="137" t="n"/>
      <c r="D29" s="137" t="n"/>
      <c r="E29" s="137" t="n"/>
      <c r="F29" s="137" t="n"/>
      <c r="G29" s="137" t="n"/>
      <c r="H29" s="137" t="n"/>
      <c r="I29" s="137" t="n"/>
      <c r="J29" s="137" t="n"/>
      <c r="K29" s="146" t="n"/>
    </row>
    <row r="30" ht="52" customHeight="1" s="72">
      <c r="B30" s="141" t="n"/>
      <c r="C30" s="142" t="n"/>
      <c r="D30" s="142" t="n"/>
      <c r="E30" s="142" t="n"/>
      <c r="F30" s="142" t="n"/>
      <c r="G30" s="142" t="n"/>
      <c r="H30" s="142" t="n"/>
      <c r="I30" s="142" t="n"/>
      <c r="J30" s="142" t="n"/>
      <c r="K30" s="147" t="n"/>
    </row>
    <row r="31" ht="69.75" customHeight="1" s="72">
      <c r="B31" s="148" t="n"/>
      <c r="C31" s="148" t="n"/>
      <c r="D31" s="148" t="n"/>
      <c r="E31" s="148" t="n"/>
      <c r="F31" s="81" t="n"/>
      <c r="G31" s="148" t="n"/>
      <c r="H31" s="81" t="n"/>
      <c r="I31" s="148" t="n"/>
      <c r="J31" s="148" t="n"/>
      <c r="K31" s="148" t="n"/>
    </row>
    <row r="32" ht="33.75" customHeight="1" s="72"/>
    <row r="33" ht="10.5" customHeight="1" s="72"/>
    <row r="34" ht="7.5" customHeight="1" s="72">
      <c r="J34" s="149" t="n"/>
    </row>
    <row r="35">
      <c r="J35" s="149" t="n"/>
    </row>
    <row r="36" ht="12" customHeight="1" s="72">
      <c r="J36" s="150" t="n"/>
    </row>
    <row r="37" ht="12" customHeight="1" s="72"/>
    <row r="38" ht="12" customHeight="1" s="72"/>
  </sheetData>
  <mergeCells count="18">
    <mergeCell ref="B26:E26"/>
    <mergeCell ref="B29:K30"/>
    <mergeCell ref="F27:F28"/>
    <mergeCell ref="B1:K1"/>
    <mergeCell ref="C24:D24"/>
    <mergeCell ref="B27:E28"/>
    <mergeCell ref="G27:G28"/>
    <mergeCell ref="C15:D15"/>
    <mergeCell ref="B17:B21"/>
    <mergeCell ref="H27:H28"/>
    <mergeCell ref="C17:C21"/>
    <mergeCell ref="B25:E25"/>
    <mergeCell ref="B4:G5"/>
    <mergeCell ref="B16:K16"/>
    <mergeCell ref="C23:D23"/>
    <mergeCell ref="I27:I28"/>
    <mergeCell ref="B22:E22"/>
    <mergeCell ref="J27:J28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IW34"/>
  <sheetViews>
    <sheetView showFormulas="0" showGridLines="0" showRowColHeaders="1" showZeros="1" rightToLeft="0" tabSelected="0" showOutlineSymbols="1" defaultGridColor="1" view="pageBreakPreview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3"/>
    <col width="9.43" customWidth="1" style="70" min="4" max="4"/>
    <col width="26.43" customWidth="1" style="70" min="5" max="5"/>
    <col width="13.32" customWidth="1" style="70" min="6" max="6"/>
    <col width="10.55" customWidth="1" style="71" min="7" max="7"/>
    <col width="13.32" customWidth="1" style="70" min="8" max="8"/>
    <col width="17.87" customWidth="1" style="70" min="9" max="9"/>
    <col width="16.77" customWidth="1" style="70" min="10" max="10"/>
    <col width="1.77" customWidth="1" style="70" min="11" max="11"/>
    <col width="8.869999999999999" customWidth="1" style="70" min="12" max="257"/>
  </cols>
  <sheetData>
    <row r="1" ht="43.5" customHeight="1" s="72">
      <c r="A1" s="73" t="n"/>
      <c r="B1" s="74" t="inlineStr">
        <is>
          <t>견    적    서</t>
        </is>
      </c>
      <c r="K1" s="73" t="n"/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5" t="n"/>
      <c r="G2" s="76" t="n"/>
      <c r="H2" s="75" t="n"/>
      <c r="I2" s="75" t="n"/>
      <c r="J2" s="77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5" t="n"/>
      <c r="G3" s="76" t="n"/>
      <c r="H3" s="75" t="n"/>
      <c r="I3" s="75" t="n"/>
      <c r="J3" s="77" t="n"/>
      <c r="K3" s="73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G4" s="79" t="n"/>
      <c r="H4" s="80" t="n"/>
      <c r="I4" s="80" t="n"/>
      <c r="J4" s="80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G5" s="81" t="n"/>
      <c r="H5" s="73" t="n"/>
      <c r="I5" s="82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3" t="n"/>
      <c r="G6" s="85" t="n"/>
      <c r="H6" s="86" t="inlineStr">
        <is>
          <t>주식회사 씨커스(Seekers Inc.)</t>
        </is>
      </c>
      <c r="I6" s="83" t="n"/>
      <c r="J6" s="83" t="n"/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inlineStr">
        <is>
          <t>대 표 이 사 : 최  경  호 (직인생략)</t>
        </is>
      </c>
      <c r="I7" s="83" t="n"/>
      <c r="J7" s="8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7" t="n"/>
      <c r="G8" s="85" t="n"/>
      <c r="H8" s="83" t="inlineStr">
        <is>
          <t>전       화 : 02) 2039-8160</t>
        </is>
      </c>
      <c r="I8" s="83" t="n"/>
      <c r="J8" s="8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7" t="n"/>
      <c r="G9" s="85" t="n"/>
      <c r="H9" s="83" t="inlineStr">
        <is>
          <t>팩       스 : 02) 2039-8161</t>
        </is>
      </c>
      <c r="I9" s="83" t="n"/>
      <c r="J9" s="8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8" t="n"/>
      <c r="G10" s="85" t="n"/>
      <c r="H10" s="88" t="inlineStr">
        <is>
          <t xml:space="preserve">주       소 : 경상북도 포항시 북구 흥해읍 융합기술로66, </t>
        </is>
      </c>
      <c r="I10" s="88" t="n"/>
      <c r="J10" s="85" t="n"/>
    </row>
    <row r="11" ht="14.25" customHeight="1" s="72">
      <c r="A11" s="88" t="n"/>
      <c r="B11" s="87" t="n"/>
      <c r="C11" s="88" t="n"/>
      <c r="D11" s="88" t="n"/>
      <c r="E11" s="88" t="n"/>
      <c r="F11" s="88" t="n"/>
      <c r="G11" s="85" t="n"/>
      <c r="H11" s="88" t="inlineStr">
        <is>
          <t xml:space="preserve">              포항지식산업센터 408~409호</t>
        </is>
      </c>
      <c r="I11" s="88" t="n"/>
      <c r="J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8" t="n"/>
      <c r="G12" s="85" t="n"/>
      <c r="H12" s="88" t="n"/>
      <c r="I12" s="88" t="n"/>
      <c r="J12" s="85" t="n"/>
    </row>
    <row r="13" ht="14.25" customHeight="1" s="72">
      <c r="B13" s="87" t="n"/>
      <c r="C13" s="70" t="n"/>
      <c r="D13" s="70" t="n"/>
      <c r="E13" s="70" t="n"/>
      <c r="F13" s="70" t="n"/>
      <c r="H13" s="70" t="n"/>
      <c r="I13" s="70" t="n"/>
      <c r="J13" s="71" t="n"/>
    </row>
    <row r="14" ht="36" customHeight="1" s="72">
      <c r="B14" s="89" t="inlineStr">
        <is>
          <t>최종 견적 금액 : 일금 일억구천삼백사십팔만일천팔백팔원 정(193,481,808원) (VAT 별도)</t>
        </is>
      </c>
      <c r="C14" s="90" t="n"/>
      <c r="D14" s="90" t="n"/>
      <c r="E14" s="90" t="n"/>
      <c r="I14" s="71" t="n"/>
      <c r="J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7" t="inlineStr">
        <is>
          <t>단가</t>
        </is>
      </c>
      <c r="G15" s="96" t="inlineStr">
        <is>
          <t>모듈(식)</t>
        </is>
      </c>
      <c r="H15" s="97" t="inlineStr">
        <is>
          <t>금액</t>
        </is>
      </c>
      <c r="I15" s="96" t="inlineStr">
        <is>
          <t>할인금액</t>
        </is>
      </c>
      <c r="J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1" t="n"/>
    </row>
    <row r="17" ht="69.95" customHeight="1" s="72">
      <c r="B17" s="123" t="n">
        <v>1</v>
      </c>
      <c r="C17" s="124" t="inlineStr">
        <is>
          <t>EWACS 복합 AI Agent 구축</t>
        </is>
      </c>
      <c r="D17" s="151" t="n"/>
      <c r="E17" s="105" t="inlineStr">
        <is>
          <t>- 요건 정의·아키텍처 설계 및 데이터 파이프라인 구축</t>
        </is>
      </c>
      <c r="F17" s="152" t="n">
        <v>29000000</v>
      </c>
      <c r="G17" s="103" t="n">
        <v>1</v>
      </c>
      <c r="H17" s="107">
        <f>F17*G17</f>
        <v/>
      </c>
      <c r="I17" s="108" t="n">
        <v>0</v>
      </c>
      <c r="J17" s="109" t="n"/>
    </row>
    <row r="18" ht="69.95" customHeight="1" s="72">
      <c r="B18" s="110" t="n"/>
      <c r="C18" s="153" t="n"/>
      <c r="D18" s="154" t="n"/>
      <c r="E18" s="105" t="inlineStr">
        <is>
          <t>- AI Agent 핵심 모듈 개발 (예측 엔진·동적 임계치·RCA·LLM 인사이트·대응 추천·알림 모듈화)</t>
        </is>
      </c>
      <c r="F18" s="152" t="n">
        <v>111000000</v>
      </c>
      <c r="G18" s="103" t="n">
        <v>1</v>
      </c>
      <c r="H18" s="107">
        <f>F18*G18</f>
        <v/>
      </c>
      <c r="I18" s="108" t="n">
        <v>0</v>
      </c>
      <c r="J18" s="109" t="n"/>
    </row>
    <row r="19" ht="69.95" customHeight="1" s="72">
      <c r="B19" s="115" t="n"/>
      <c r="C19" s="155" t="n"/>
      <c r="D19" s="156" t="n"/>
      <c r="E19" s="105" t="inlineStr">
        <is>
          <t>- 통합 계층 구축·EWACS 연동 통합 테스트 및 안정화·운영 전환</t>
        </is>
      </c>
      <c r="F19" s="152" t="n">
        <v>53481808</v>
      </c>
      <c r="G19" s="103" t="n">
        <v>1</v>
      </c>
      <c r="H19" s="107">
        <f>F19*G19</f>
        <v/>
      </c>
      <c r="I19" s="108" t="n">
        <v>0</v>
      </c>
      <c r="J19" s="109" t="n"/>
    </row>
    <row r="20" ht="39.95" customHeight="1" s="72">
      <c r="B20" s="117" t="inlineStr">
        <is>
          <t>소계</t>
        </is>
      </c>
      <c r="C20" s="118" t="n"/>
      <c r="D20" s="118" t="n"/>
      <c r="E20" s="118" t="n"/>
      <c r="F20" s="119" t="inlineStr">
        <is>
          <t>-</t>
        </is>
      </c>
      <c r="G20" s="119" t="inlineStr">
        <is>
          <t>-</t>
        </is>
      </c>
      <c r="H20" s="120">
        <f>SUM(H17:H19)</f>
        <v/>
      </c>
      <c r="I20" s="121">
        <f>H20</f>
        <v/>
      </c>
      <c r="J20" s="122" t="n"/>
    </row>
    <row r="21" ht="69.95" customHeight="1" s="72">
      <c r="B21" s="123" t="n">
        <v>2</v>
      </c>
      <c r="C21" s="124" t="inlineStr">
        <is>
          <t>재경비</t>
        </is>
      </c>
      <c r="D21" s="125" t="n"/>
      <c r="E21" s="126" t="inlineStr">
        <is>
          <t>- 제공 기술에 대한 일반 재경비</t>
        </is>
      </c>
      <c r="F21" s="124" t="inlineStr">
        <is>
          <t>-</t>
        </is>
      </c>
      <c r="G21" s="124" t="inlineStr">
        <is>
          <t>-</t>
        </is>
      </c>
      <c r="H21" s="127">
        <f>H20*0%</f>
        <v/>
      </c>
      <c r="I21" s="127" t="n"/>
      <c r="J21" s="128" t="n"/>
    </row>
    <row r="22" ht="69.95" customHeight="1" s="72">
      <c r="B22" s="102" t="n">
        <v>3</v>
      </c>
      <c r="C22" s="124" t="inlineStr">
        <is>
          <t>기술료</t>
        </is>
      </c>
      <c r="D22" s="125" t="n"/>
      <c r="E22" s="126" t="inlineStr">
        <is>
          <t>- 제공 기술료</t>
        </is>
      </c>
      <c r="F22" s="124" t="inlineStr">
        <is>
          <t>-</t>
        </is>
      </c>
      <c r="G22" s="103" t="inlineStr">
        <is>
          <t>-</t>
        </is>
      </c>
      <c r="H22" s="107">
        <f>(H20+H21)*0</f>
        <v/>
      </c>
      <c r="I22" s="107" t="n"/>
      <c r="J22" s="129" t="n"/>
    </row>
    <row r="23" ht="39.95" customHeight="1" s="72">
      <c r="B23" s="130" t="inlineStr">
        <is>
          <t>소계</t>
        </is>
      </c>
      <c r="C23" s="131" t="n"/>
      <c r="D23" s="131" t="n"/>
      <c r="E23" s="131" t="n"/>
      <c r="F23" s="119" t="inlineStr">
        <is>
          <t>-</t>
        </is>
      </c>
      <c r="G23" s="119" t="inlineStr">
        <is>
          <t>-</t>
        </is>
      </c>
      <c r="H23" s="120">
        <f>SUM(H21:H22)</f>
        <v/>
      </c>
      <c r="I23" s="121">
        <f>H23</f>
        <v/>
      </c>
      <c r="J23" s="122" t="n"/>
    </row>
    <row r="24" ht="39.95" customHeight="1" s="72">
      <c r="B24" s="132" t="inlineStr">
        <is>
          <t>합계</t>
        </is>
      </c>
      <c r="C24" s="100" t="n"/>
      <c r="D24" s="100" t="n"/>
      <c r="E24" s="100" t="n"/>
      <c r="F24" s="133" t="inlineStr">
        <is>
          <t>-</t>
        </is>
      </c>
      <c r="G24" s="133" t="inlineStr">
        <is>
          <t>-</t>
        </is>
      </c>
      <c r="H24" s="134">
        <f>H20+H23</f>
        <v/>
      </c>
      <c r="I24" s="134">
        <f>I20+I23</f>
        <v/>
      </c>
      <c r="J24" s="135" t="n"/>
    </row>
    <row r="25" ht="20.1" customHeight="1" s="72">
      <c r="B25" s="136" t="inlineStr">
        <is>
          <t>특별 견적 금액</t>
        </is>
      </c>
      <c r="C25" s="137" t="n"/>
      <c r="D25" s="137" t="n"/>
      <c r="E25" s="137" t="n"/>
      <c r="F25" s="93" t="n"/>
      <c r="G25" s="93" t="n"/>
      <c r="H25" s="138">
        <f>H24</f>
        <v/>
      </c>
      <c r="I25" s="139">
        <f>H24</f>
        <v/>
      </c>
      <c r="J25" s="140" t="inlineStr">
        <is>
          <t>*할인률</t>
        </is>
      </c>
    </row>
    <row r="26" ht="20.1" customHeight="1" s="72">
      <c r="B26" s="141" t="n"/>
      <c r="C26" s="142" t="n"/>
      <c r="D26" s="142" t="n"/>
      <c r="E26" s="142" t="n"/>
      <c r="F26" s="143" t="n"/>
      <c r="G26" s="143" t="n"/>
      <c r="H26" s="143" t="n"/>
      <c r="I26" s="143" t="n"/>
      <c r="J26" s="144">
        <f>100%-(I25/H25)</f>
        <v/>
      </c>
    </row>
    <row r="27" ht="36" customHeight="1" s="72">
      <c r="B27" s="145" t="inlineStr">
        <is>
          <t>※ 비 고
   - 본 견적은 과제 2(EWACS 복합 AI Agent 구축)의 모듈별 정액 산정안이며, 총액은 인력 기준 견적(견적서(인력) 시트)과 동일함
   - 모듈 구분·배분은 협의용 안이며, 비용 산정 방식(M/M 기반 vs 모듈별 정액)은 과업지시서 14조에 따라 협의 후 확정함
   - 상기 금액은 부가가치세(VAT) 별도이며, 계약 조건은 계약서에 따름</t>
        </is>
      </c>
      <c r="C27" s="137" t="n"/>
      <c r="D27" s="137" t="n"/>
      <c r="E27" s="137" t="n"/>
      <c r="F27" s="137" t="n"/>
      <c r="G27" s="137" t="n"/>
      <c r="H27" s="137" t="n"/>
      <c r="I27" s="137" t="n"/>
      <c r="J27" s="146" t="n"/>
    </row>
    <row r="28" ht="36" customHeight="1" s="72">
      <c r="B28" s="141" t="n"/>
      <c r="C28" s="142" t="n"/>
      <c r="D28" s="142" t="n"/>
      <c r="E28" s="142" t="n"/>
      <c r="F28" s="142" t="n"/>
      <c r="G28" s="142" t="n"/>
      <c r="H28" s="142" t="n"/>
      <c r="I28" s="142" t="n"/>
      <c r="J28" s="147" t="n"/>
    </row>
    <row r="29" ht="10.5" customHeight="1" s="72">
      <c r="B29" s="148" t="n"/>
      <c r="C29" s="148" t="n"/>
      <c r="D29" s="148" t="n"/>
      <c r="E29" s="148" t="n"/>
      <c r="F29" s="148" t="n"/>
      <c r="G29" s="81" t="n"/>
      <c r="H29" s="148" t="n"/>
      <c r="I29" s="148" t="n"/>
      <c r="J29" s="148" t="n"/>
    </row>
    <row r="30" ht="7.5" customHeight="1" s="72"/>
    <row r="32" ht="12" customHeight="1" s="72">
      <c r="I32" s="149" t="n"/>
    </row>
    <row r="33" ht="12" customHeight="1" s="72">
      <c r="I33" s="149" t="n"/>
    </row>
    <row r="34" ht="12" customHeight="1" s="72">
      <c r="I34" s="150" t="n"/>
    </row>
  </sheetData>
  <mergeCells count="17">
    <mergeCell ref="B23:E23"/>
    <mergeCell ref="B17:B19"/>
    <mergeCell ref="C21:D21"/>
    <mergeCell ref="I25:I26"/>
    <mergeCell ref="F25:F26"/>
    <mergeCell ref="C15:D15"/>
    <mergeCell ref="B1:J1"/>
    <mergeCell ref="G25:G26"/>
    <mergeCell ref="C22:D22"/>
    <mergeCell ref="B24:E24"/>
    <mergeCell ref="B20:E20"/>
    <mergeCell ref="B25:E26"/>
    <mergeCell ref="B27:J28"/>
    <mergeCell ref="H25:H26"/>
    <mergeCell ref="B4:F5"/>
    <mergeCell ref="B16:J16"/>
    <mergeCell ref="C17:D19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2026-07-30T23:56:01Z</dcterms:modified>
  <cp:lastModifiedBy>주경지채</cp:lastModifiedBy>
  <cp:revision>0</cp:revision>
  <cp:lastPrinted>2026-04-20T21:05:41Z</cp:lastPrinted>
</cp:coreProperties>
</file>