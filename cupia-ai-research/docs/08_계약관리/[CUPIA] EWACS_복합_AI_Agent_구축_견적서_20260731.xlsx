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(인력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b val="1"/>
      <sz val="12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6" customWidth="1" min="4" max="4"/>
    <col width="34" customWidth="1" min="5" max="5"/>
    <col width="7" customWidth="1" min="6" max="6"/>
    <col width="12" customWidth="1" min="7" max="7"/>
    <col width="8" customWidth="1" min="8" max="8"/>
    <col width="13" customWidth="1" min="9" max="9"/>
    <col width="10" customWidth="1" min="10" max="10"/>
    <col width="12" customWidth="1" min="11" max="11"/>
  </cols>
  <sheetData>
    <row r="1" ht="24" customHeight="1">
      <c r="B1" s="1" t="inlineStr">
        <is>
          <t>견    적    서</t>
        </is>
      </c>
    </row>
    <row r="2" ht="24" customHeight="1"/>
    <row r="4">
      <c r="B4" s="2" t="inlineStr">
        <is>
          <t>전자통관국제협력재단 귀중</t>
        </is>
      </c>
    </row>
    <row r="6">
      <c r="B6" s="3" t="inlineStr">
        <is>
          <t>견  적  명 : CUPIA AI 연구 과제 2026 — 과제 2 EWACS 복합 AI Agent 구축 용역</t>
        </is>
      </c>
      <c r="I6" s="4" t="inlineStr">
        <is>
          <t>주식회사 씨커스 (Seekers Inc.)</t>
        </is>
      </c>
    </row>
    <row r="7">
      <c r="B7" s="3" t="inlineStr">
        <is>
          <t>참       조 : AI연구개발본부</t>
        </is>
      </c>
      <c r="I7" s="3" t="inlineStr">
        <is>
          <t>대 표 이 사 : 최  경  호 (직인생략)</t>
        </is>
      </c>
    </row>
    <row r="8">
      <c r="B8" s="3" t="inlineStr">
        <is>
          <t>견 적 일 자 : 2026년 7월 31일</t>
        </is>
      </c>
      <c r="I8" s="3" t="inlineStr">
        <is>
          <t>전       화 : 02) 2039-8160</t>
        </is>
      </c>
    </row>
    <row r="9">
      <c r="B9" s="3" t="inlineStr">
        <is>
          <t>유 효 기 간 : 견적일로부터 30일</t>
        </is>
      </c>
      <c r="I9" s="3" t="inlineStr">
        <is>
          <t>팩       스 : 02) 2039-8161</t>
        </is>
      </c>
    </row>
    <row r="10">
      <c r="B10" s="3" t="inlineStr">
        <is>
          <t>견 적 번 호 : SKS-20260731-01</t>
        </is>
      </c>
      <c r="I10" s="3" t="inlineStr">
        <is>
          <t>주       소 : 경상북도 포항시 북구 흥해읍 융합기술로66,</t>
        </is>
      </c>
    </row>
    <row r="11">
      <c r="I11" s="3" t="inlineStr">
        <is>
          <t xml:space="preserve">                포항지식산업센터 408~409호</t>
        </is>
      </c>
    </row>
    <row r="12">
      <c r="B12" s="3" t="inlineStr">
        <is>
          <t>아래와 같이 견적합니다.</t>
        </is>
      </c>
    </row>
    <row r="14" ht="20" customHeight="1">
      <c r="B14" s="5" t="inlineStr">
        <is>
          <t>최종 견적 금액 : 일금 일억구천삼백사십팔만일천팔백팔원 정(₩193,481,808) (VAT 별도)</t>
        </is>
      </c>
    </row>
    <row r="15">
      <c r="B15" s="6" t="inlineStr">
        <is>
          <t>SEQ</t>
        </is>
      </c>
      <c r="C15" s="6" t="inlineStr">
        <is>
          <t>구분</t>
        </is>
      </c>
      <c r="D15" s="7" t="n"/>
      <c r="E15" s="6" t="inlineStr">
        <is>
          <t>세부내용</t>
        </is>
      </c>
      <c r="F15" s="6" t="inlineStr">
        <is>
          <t>인원</t>
        </is>
      </c>
      <c r="G15" s="6" t="inlineStr">
        <is>
          <t>단가</t>
        </is>
      </c>
      <c r="H15" s="6" t="inlineStr">
        <is>
          <t>투입월</t>
        </is>
      </c>
      <c r="I15" s="6" t="inlineStr">
        <is>
          <t>금액</t>
        </is>
      </c>
      <c r="J15" s="6" t="inlineStr">
        <is>
          <t>할인금액</t>
        </is>
      </c>
      <c r="K15" s="6" t="inlineStr">
        <is>
          <t>비고</t>
        </is>
      </c>
    </row>
    <row r="16">
      <c r="B16" s="8" t="inlineStr">
        <is>
          <t>CUPIA AI 연구 과제 2026 — 과제 2 : EWACS 복합 AI Agent 구축 (룰 기반 → AI Agent 전환)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6" customHeight="1">
      <c r="B17" s="10" t="n">
        <v>1</v>
      </c>
      <c r="C17" s="10" t="inlineStr">
        <is>
          <t>인력 투입</t>
        </is>
      </c>
      <c r="D17" s="11" t="inlineStr">
        <is>
          <t>AI 엔지니어</t>
        </is>
      </c>
      <c r="E17" s="11" t="inlineStr">
        <is>
          <t>- 예측 엔진·동적 임계치·원인 분석(RCA)·LLM 인사이트 모델링</t>
        </is>
      </c>
      <c r="F17" s="12" t="n">
        <v>1</v>
      </c>
      <c r="G17" s="13" t="n">
        <v>10649117</v>
      </c>
      <c r="H17" s="12" t="n">
        <v>7</v>
      </c>
      <c r="I17" s="13">
        <f>G17*H17</f>
        <v/>
      </c>
      <c r="J17" s="13" t="n">
        <v>0</v>
      </c>
      <c r="K17" s="10" t="inlineStr">
        <is>
          <t>특급</t>
        </is>
      </c>
    </row>
    <row r="18" ht="26" customHeight="1">
      <c r="B18" s="14" t="inlineStr"/>
      <c r="C18" s="10" t="inlineStr"/>
      <c r="D18" s="11" t="inlineStr">
        <is>
          <t>백엔드 개발</t>
        </is>
      </c>
      <c r="E18" s="11" t="inlineStr">
        <is>
          <t>- Agent Core·Data Pipeline·통합 계층(REST API/Event Bus/Webhook) 개발</t>
        </is>
      </c>
      <c r="F18" s="12" t="n">
        <v>1</v>
      </c>
      <c r="G18" s="13" t="n">
        <v>7754124</v>
      </c>
      <c r="H18" s="12" t="n">
        <v>6</v>
      </c>
      <c r="I18" s="13">
        <f>G18*H18</f>
        <v/>
      </c>
      <c r="J18" s="13" t="n">
        <v>0</v>
      </c>
      <c r="K18" s="10" t="inlineStr">
        <is>
          <t>고급</t>
        </is>
      </c>
    </row>
    <row r="19" ht="26" customHeight="1">
      <c r="B19" s="14" t="inlineStr"/>
      <c r="C19" s="10" t="inlineStr"/>
      <c r="D19" s="11" t="inlineStr">
        <is>
          <t>프론트엔드</t>
        </is>
      </c>
      <c r="E19" s="11" t="inlineStr">
        <is>
          <t>- EWACS Dashboard·Admin Console·알림 UI 개발</t>
        </is>
      </c>
      <c r="F19" s="12" t="n">
        <v>1</v>
      </c>
      <c r="G19" s="13" t="n">
        <v>6901660</v>
      </c>
      <c r="H19" s="12" t="n">
        <v>4</v>
      </c>
      <c r="I19" s="13">
        <f>G19*H19</f>
        <v/>
      </c>
      <c r="J19" s="13" t="n">
        <v>0</v>
      </c>
      <c r="K19" s="10" t="inlineStr">
        <is>
          <t>중급</t>
        </is>
      </c>
    </row>
    <row r="20" ht="26" customHeight="1">
      <c r="B20" s="14" t="inlineStr"/>
      <c r="C20" s="10" t="inlineStr"/>
      <c r="D20" s="11" t="inlineStr">
        <is>
          <t>PM/QA</t>
        </is>
      </c>
      <c r="E20" s="11" t="inlineStr">
        <is>
          <t>- 사업 관리·품질 관리·통합 테스트</t>
        </is>
      </c>
      <c r="F20" s="12" t="n">
        <v>1</v>
      </c>
      <c r="G20" s="13" t="n">
        <v>11042071</v>
      </c>
      <c r="H20" s="12" t="n">
        <v>3</v>
      </c>
      <c r="I20" s="13">
        <f>G20*H20</f>
        <v/>
      </c>
      <c r="J20" s="13" t="n">
        <v>0</v>
      </c>
      <c r="K20" s="10" t="inlineStr">
        <is>
          <t>고급</t>
        </is>
      </c>
    </row>
    <row r="21" ht="26" customHeight="1">
      <c r="B21" s="14" t="inlineStr"/>
      <c r="C21" s="10" t="inlineStr"/>
      <c r="D21" s="11" t="inlineStr">
        <is>
          <t>안정화 지원</t>
        </is>
      </c>
      <c r="E21" s="11" t="inlineStr">
        <is>
          <t>- 오탐 튜닝·운영 전환·운영자 교육</t>
        </is>
      </c>
      <c r="F21" s="12" t="n">
        <v>1</v>
      </c>
      <c r="G21" s="13" t="n">
        <v>5840196</v>
      </c>
      <c r="H21" s="12" t="n">
        <v>2</v>
      </c>
      <c r="I21" s="13">
        <f>G21*H21</f>
        <v/>
      </c>
      <c r="J21" s="13" t="n">
        <v>0</v>
      </c>
      <c r="K21" s="10" t="inlineStr">
        <is>
          <t>고급</t>
        </is>
      </c>
    </row>
    <row r="22">
      <c r="B22" s="15" t="inlineStr">
        <is>
          <t>소계  (합계 22 M/M)</t>
        </is>
      </c>
      <c r="C22" s="9" t="n"/>
      <c r="D22" s="9" t="n"/>
      <c r="E22" s="9" t="n"/>
      <c r="F22" s="10" t="inlineStr">
        <is>
          <t>-</t>
        </is>
      </c>
      <c r="G22" s="10" t="inlineStr">
        <is>
          <t>-</t>
        </is>
      </c>
      <c r="H22" s="12">
        <f>SUM(H17:H21)</f>
        <v/>
      </c>
      <c r="I22" s="16">
        <f>SUM(I17:I21)</f>
        <v/>
      </c>
      <c r="J22" s="13">
        <f>SUM(J17:J21)</f>
        <v/>
      </c>
      <c r="K22" s="14" t="inlineStr"/>
    </row>
    <row r="23">
      <c r="B23" s="10" t="n">
        <v>2</v>
      </c>
      <c r="C23" s="10" t="inlineStr">
        <is>
          <t>재경비</t>
        </is>
      </c>
      <c r="D23" s="9" t="n"/>
      <c r="E23" s="11" t="inlineStr">
        <is>
          <t>- 제공 기술에 대한 일반 재경비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3" t="n">
        <v>0</v>
      </c>
      <c r="J23" s="13" t="n">
        <v>0</v>
      </c>
      <c r="K23" s="10" t="inlineStr">
        <is>
          <t>협의 시 반영</t>
        </is>
      </c>
    </row>
    <row r="24">
      <c r="B24" s="10" t="n">
        <v>3</v>
      </c>
      <c r="C24" s="10" t="inlineStr">
        <is>
          <t>기술료</t>
        </is>
      </c>
      <c r="D24" s="9" t="n"/>
      <c r="E24" s="11" t="inlineStr">
        <is>
          <t>- 제공 기술료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3" t="n">
        <v>0</v>
      </c>
      <c r="J24" s="13" t="n">
        <v>0</v>
      </c>
      <c r="K24" s="10" t="inlineStr">
        <is>
          <t>협의 시 반영</t>
        </is>
      </c>
    </row>
    <row r="25">
      <c r="B25" s="15" t="inlineStr">
        <is>
          <t>소계</t>
        </is>
      </c>
      <c r="C25" s="9" t="n"/>
      <c r="D25" s="9" t="n"/>
      <c r="E25" s="9" t="n"/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3">
        <f>SUM(I23:I24)</f>
        <v/>
      </c>
      <c r="J25" s="13">
        <f>SUM(J23:J24)</f>
        <v/>
      </c>
      <c r="K25" s="14" t="inlineStr"/>
    </row>
    <row r="26">
      <c r="B26" s="17" t="inlineStr">
        <is>
          <t>합       계</t>
        </is>
      </c>
      <c r="C26" s="9" t="n"/>
      <c r="D26" s="9" t="n"/>
      <c r="E26" s="9" t="n"/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8">
        <f>I22+I25</f>
        <v/>
      </c>
      <c r="J26" s="13">
        <f>J22+J25</f>
        <v/>
      </c>
      <c r="K26" s="10" t="inlineStr">
        <is>
          <t>VAT 별도</t>
        </is>
      </c>
    </row>
    <row r="28">
      <c r="B28" s="4" t="inlineStr">
        <is>
          <t>※ 비 고</t>
        </is>
      </c>
    </row>
    <row r="29" ht="26" customHeight="1">
      <c r="B29" s="19" t="inlineStr">
        <is>
          <t>1. 본 견적은 전자통관국제협력재단 'CUPIA AI 연구 과제 2026' 중 과제 2(EWACS 복합 AI Agent 구축)에 한한 견적임. (과제 1 e-PASS AI 모델 상품화는 수행 완료로 제외)</t>
        </is>
      </c>
    </row>
    <row r="30" ht="26" customHeight="1">
      <c r="B30" s="19" t="inlineStr">
        <is>
          <t>2. 인원·투입월(M/M)은 과업지시서(CUPIA-AI-2026-SOW-001) 6.2 투입 인력 기준이며, 투입 시기는 계약 착수 시점에 따라 조정함. (총 22 M/M)</t>
        </is>
      </c>
    </row>
    <row r="31" ht="26" customHeight="1">
      <c r="B31" s="19" t="inlineStr">
        <is>
          <t>3. 단가는 SW기술자 직무별 평균임금 체계를 따른 당사 표준 단가 기준이며, 최종 단가는 예정가격 협의 시 조정 가능함.</t>
        </is>
      </c>
    </row>
    <row r="32" ht="26" customHeight="1">
      <c r="B32" s="19" t="inlineStr">
        <is>
          <t>4. 상기 금액은 부가가치세(VAT) 별도 금액임.</t>
        </is>
      </c>
    </row>
    <row r="33" ht="26" customHeight="1">
      <c r="B33" s="19" t="inlineStr">
        <is>
          <t>5. 재경비·기술료는 협의에 따라 별도 산정하며, 계약보증금·검수·지급 방식 등 계약 조건은 계약서에 따름.</t>
        </is>
      </c>
    </row>
  </sheetData>
  <mergeCells count="14">
    <mergeCell ref="B1:K2"/>
    <mergeCell ref="B26:E26"/>
    <mergeCell ref="B31:K31"/>
    <mergeCell ref="B14:K14"/>
    <mergeCell ref="C24:D24"/>
    <mergeCell ref="B32:K32"/>
    <mergeCell ref="C15:D15"/>
    <mergeCell ref="B30:K30"/>
    <mergeCell ref="B33:K33"/>
    <mergeCell ref="B29:K29"/>
    <mergeCell ref="B25:E25"/>
    <mergeCell ref="B16:K16"/>
    <mergeCell ref="C23:D23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2026-07-30T23:30:24Z</dcterms:created>
  <dcterms:modified xmlns:dcterms="http://purl.org/dc/terms/" xmlns:xsi="http://www.w3.org/2001/XMLSchema-instance" xsi:type="dcterms:W3CDTF">2026-07-30T23:30:24Z</dcterms:modified>
</cp:coreProperties>
</file>