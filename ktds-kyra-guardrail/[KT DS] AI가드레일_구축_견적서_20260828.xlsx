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>
    <definedName name="_xlnm.Print_Area" localSheetId="0">'견적서'!$A$1:$K$26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굴림체"/>
      <sz val="34"/>
    </font>
    <font>
      <name val="굴림체"/>
      <b val="1"/>
      <color rgb="FF000000"/>
      <sz val="18"/>
    </font>
    <font>
      <name val="굴림체"/>
      <color rgb="FF000000"/>
      <sz val="12"/>
    </font>
    <font>
      <name val="굴림체"/>
      <color rgb="FF000000"/>
      <sz val="10.5"/>
    </font>
    <font>
      <name val="굴림체"/>
      <b val="1"/>
      <sz val="14"/>
    </font>
    <font>
      <name val="굴림체"/>
      <b val="1"/>
      <color rgb="FFFFFFFF"/>
      <sz val="11"/>
    </font>
    <font>
      <name val="굴림체"/>
      <b val="1"/>
      <color rgb="FF808080"/>
      <sz val="12"/>
    </font>
    <font>
      <name val="굴림체"/>
      <color rgb="FF000000"/>
      <sz val="10"/>
    </font>
    <font>
      <name val="굴림체"/>
      <b val="1"/>
      <sz val="10"/>
    </font>
    <font>
      <name val="굴림체"/>
      <sz val="10"/>
    </font>
    <font>
      <name val="굴림체"/>
      <b val="1"/>
      <color rgb="FF000000"/>
      <sz val="11"/>
    </font>
    <font>
      <name val="굴림체"/>
      <b val="1"/>
      <sz val="11"/>
    </font>
    <font>
      <name val="굴림체"/>
      <color rgb="FFFFFFFF"/>
      <sz val="11"/>
    </font>
    <font>
      <name val="굴림체"/>
      <sz val="11"/>
    </font>
  </fonts>
  <fills count="7">
    <fill>
      <patternFill/>
    </fill>
    <fill>
      <patternFill patternType="gray125"/>
    </fill>
    <fill>
      <patternFill patternType="solid">
        <fgColor rgb="FF333333"/>
      </patternFill>
    </fill>
    <fill>
      <patternFill patternType="solid">
        <fgColor rgb="FF99CC0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969696"/>
      </patternFill>
    </fill>
  </fills>
  <borders count="28">
    <border>
      <left/>
      <right/>
      <top/>
      <bottom/>
      <diagonal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 style="thin"/>
      <bottom style="thin"/>
    </border>
    <border>
      <left/>
      <right/>
      <top style="thin"/>
      <bottom style="thin"/>
    </border>
    <border>
      <left style="medium"/>
      <right/>
      <top style="thin"/>
      <bottom style="medium"/>
    </border>
    <border>
      <left/>
      <right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medium"/>
      <bottom/>
    </border>
    <border>
      <left style="thin"/>
      <right style="thin"/>
      <top style="medium"/>
      <bottom/>
    </border>
    <border>
      <left style="thin"/>
      <right style="medium"/>
      <top style="medium"/>
      <bottom/>
    </border>
    <border>
      <left style="medium"/>
      <right style="thin"/>
      <top/>
      <bottom style="medium"/>
    </border>
    <border>
      <left style="thin"/>
      <right style="thin"/>
      <top/>
      <bottom style="medium"/>
    </border>
    <border>
      <left style="thin"/>
      <right style="medium"/>
      <top/>
      <bottom style="medium"/>
    </border>
    <border>
      <left style="medium"/>
      <right/>
      <top style="medium"/>
      <bottom/>
    </border>
    <border>
      <left/>
      <right/>
      <top style="medium"/>
      <bottom/>
    </border>
    <border>
      <left/>
      <right style="medium"/>
      <top style="medium"/>
      <bottom/>
    </border>
    <border>
      <left style="medium"/>
      <right/>
      <top/>
      <bottom style="medium"/>
    </border>
    <border>
      <left/>
      <right/>
      <top/>
      <bottom style="medium"/>
    </border>
    <border>
      <left/>
      <right style="medium"/>
      <top/>
      <bottom style="medium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left" vertical="center" wrapText="1" indent="1"/>
    </xf>
    <xf numFmtId="3" fontId="10" fillId="4" borderId="8" applyAlignment="1" pivotButton="0" quotePrefix="0" xfId="0">
      <alignment horizontal="right" vertical="center" wrapText="1"/>
    </xf>
    <xf numFmtId="0" fontId="10" fillId="4" borderId="8" applyAlignment="1" pivotButton="0" quotePrefix="0" xfId="0">
      <alignment horizontal="center" vertical="center" wrapText="1"/>
    </xf>
    <xf numFmtId="0" fontId="10" fillId="4" borderId="9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11" fillId="5" borderId="11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3" fontId="12" fillId="5" borderId="8" applyAlignment="1" pivotButton="0" quotePrefix="0" xfId="0">
      <alignment horizontal="right" vertical="center" wrapText="1"/>
    </xf>
    <xf numFmtId="0" fontId="12" fillId="5" borderId="9" applyAlignment="1" pivotButton="0" quotePrefix="0" xfId="0">
      <alignment horizontal="center" vertical="center" wrapText="1"/>
    </xf>
    <xf numFmtId="0" fontId="11" fillId="5" borderId="12" applyAlignment="1" pivotButton="0" quotePrefix="0" xfId="0">
      <alignment horizontal="center" vertical="center" wrapText="1"/>
    </xf>
    <xf numFmtId="0" fontId="11" fillId="5" borderId="13" applyAlignment="1" pivotButton="0" quotePrefix="0" xfId="0">
      <alignment horizontal="center" vertical="center" wrapText="1"/>
    </xf>
    <xf numFmtId="0" fontId="12" fillId="5" borderId="14" applyAlignment="1" pivotButton="0" quotePrefix="0" xfId="0">
      <alignment horizontal="center" vertical="center" wrapText="1"/>
    </xf>
    <xf numFmtId="3" fontId="12" fillId="5" borderId="14" applyAlignment="1" pivotButton="0" quotePrefix="0" xfId="0">
      <alignment horizontal="right" vertical="center" wrapText="1"/>
    </xf>
    <xf numFmtId="0" fontId="12" fillId="5" borderId="15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3" fontId="11" fillId="6" borderId="2" applyAlignment="1" pivotButton="0" quotePrefix="0" xfId="0">
      <alignment horizontal="right" vertical="center" wrapText="1"/>
    </xf>
    <xf numFmtId="0" fontId="13" fillId="6" borderId="3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6" fillId="2" borderId="17" applyAlignment="1" pivotButton="0" quotePrefix="0" xfId="0">
      <alignment horizontal="center" vertical="center" wrapText="1"/>
    </xf>
    <xf numFmtId="3" fontId="6" fillId="2" borderId="2" applyAlignment="1" pivotButton="0" quotePrefix="0" xfId="0">
      <alignment horizontal="right" vertical="center" wrapText="1"/>
    </xf>
    <xf numFmtId="0" fontId="6" fillId="2" borderId="18" applyAlignment="1" pivotButton="0" quotePrefix="0" xfId="0">
      <alignment horizontal="center" vertical="center" wrapText="1"/>
    </xf>
    <xf numFmtId="0" fontId="6" fillId="2" borderId="19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0" fontId="13" fillId="2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left" vertical="center" wrapText="1"/>
    </xf>
    <xf numFmtId="0" fontId="14" fillId="0" borderId="23" applyAlignment="1" pivotButton="0" quotePrefix="0" xfId="0">
      <alignment horizontal="left" vertical="center" wrapText="1"/>
    </xf>
    <xf numFmtId="0" fontId="14" fillId="0" borderId="24" applyAlignment="1" pivotButton="0" quotePrefix="0" xfId="0">
      <alignment horizontal="left" vertical="center" wrapText="1"/>
    </xf>
    <xf numFmtId="0" fontId="14" fillId="0" borderId="25" applyAlignment="1" pivotButton="0" quotePrefix="0" xfId="0">
      <alignment horizontal="left" vertical="center" wrapText="1"/>
    </xf>
    <xf numFmtId="0" fontId="14" fillId="0" borderId="26" applyAlignment="1" pivotButton="0" quotePrefix="0" xfId="0">
      <alignment horizontal="left" vertical="center" wrapText="1"/>
    </xf>
    <xf numFmtId="0" fontId="14" fillId="0" borderId="2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26"/>
  <sheetViews>
    <sheetView showGridLines="0" workbookViewId="0">
      <selection activeCell="A1" sqref="A1"/>
    </sheetView>
  </sheetViews>
  <sheetFormatPr baseColWidth="8" defaultRowHeight="15"/>
  <cols>
    <col width="1.77" customWidth="1" min="1" max="1"/>
    <col width="5.55" customWidth="1" min="2" max="2"/>
    <col width="17" customWidth="1" min="3" max="3"/>
    <col width="1" customWidth="1" min="4" max="4"/>
    <col width="66" customWidth="1" min="5" max="5"/>
    <col width="13.32" customWidth="1" min="6" max="6"/>
    <col width="10.55" customWidth="1" min="7" max="7"/>
    <col width="14.5" customWidth="1" min="8" max="8"/>
    <col width="14.5" customWidth="1" min="9" max="9"/>
    <col width="12" customWidth="1" min="10" max="10"/>
    <col width="1.77" customWidth="1" min="11" max="11"/>
  </cols>
  <sheetData>
    <row r="1" ht="43.5" customHeight="1">
      <c r="B1" s="1" t="inlineStr">
        <is>
          <t>견    적    서</t>
        </is>
      </c>
    </row>
    <row r="2" ht="31.5" customHeight="1"/>
    <row r="3" ht="31.5" customHeight="1"/>
    <row r="4" ht="31.5" customHeight="1">
      <c r="B4" s="2" t="inlineStr">
        <is>
          <t>케이티디에스(주) 귀중</t>
        </is>
      </c>
    </row>
    <row r="5" ht="13.5" customHeight="1"/>
    <row r="6" ht="23.25" customHeight="1">
      <c r="B6" s="3" t="inlineStr">
        <is>
          <t>견  적   명 : AI 가드레일 구축 (공공사업 RFI 요건 SEC-006 · SEC-008 대응)</t>
        </is>
      </c>
      <c r="G6" s="4" t="inlineStr">
        <is>
          <t>주식회사 씨커스(Seekers Inc.)</t>
        </is>
      </c>
    </row>
    <row r="7" ht="14.25" customHeight="1">
      <c r="B7" s="3" t="inlineStr">
        <is>
          <t>참       조 : AX솔루션개발팀 박준현 님</t>
        </is>
      </c>
      <c r="G7" s="4" t="inlineStr">
        <is>
          <t>대 표 이 사 : 최  경  호 (직인생략)</t>
        </is>
      </c>
    </row>
    <row r="8" ht="14.25" customHeight="1">
      <c r="B8" s="3" t="inlineStr">
        <is>
          <t>견 적 일 자 : 2026년 8월 28일</t>
        </is>
      </c>
      <c r="G8" s="4" t="inlineStr">
        <is>
          <t>전       화 : 02) 2039-8160</t>
        </is>
      </c>
    </row>
    <row r="9" ht="14.25" customHeight="1">
      <c r="B9" s="3" t="inlineStr">
        <is>
          <t>유 효 기 간 : 견적일로부터 30일</t>
        </is>
      </c>
      <c r="G9" s="4" t="inlineStr">
        <is>
          <t>팩       스 : 02) 2039-8161</t>
        </is>
      </c>
    </row>
    <row r="10" ht="14.25" customHeight="1">
      <c r="B10" s="3" t="inlineStr">
        <is>
          <t>견 적 번 호 : SKS-20260828-01</t>
        </is>
      </c>
      <c r="G10" s="4" t="inlineStr">
        <is>
          <t xml:space="preserve">주       소 : 경상북도 포항시 북구 흥해읍 융합기술로66, </t>
        </is>
      </c>
    </row>
    <row r="11" ht="14.25" customHeight="1">
      <c r="G11" s="4" t="inlineStr">
        <is>
          <t xml:space="preserve">              포항지식산업센터 408~409호</t>
        </is>
      </c>
    </row>
    <row r="12" ht="14.25" customHeight="1">
      <c r="B12" s="3" t="inlineStr">
        <is>
          <t>아래와 같이 견적합니다.</t>
        </is>
      </c>
    </row>
    <row r="13" ht="14.25" customHeight="1"/>
    <row r="14" ht="36" customHeight="1">
      <c r="B14" s="5" t="inlineStr">
        <is>
          <t>최종 견적 금액 : 일금 칠천만원 정(70,000,000원) (VAT 별도)</t>
        </is>
      </c>
    </row>
    <row r="15" ht="39.95" customHeight="1">
      <c r="B15" s="6" t="inlineStr">
        <is>
          <t>SEQ</t>
        </is>
      </c>
      <c r="C15" s="7" t="inlineStr">
        <is>
          <t>구분</t>
        </is>
      </c>
      <c r="D15" s="7" t="n"/>
      <c r="E15" s="7" t="inlineStr">
        <is>
          <t>세부내용</t>
        </is>
      </c>
      <c r="F15" s="7" t="inlineStr">
        <is>
          <t>단가</t>
        </is>
      </c>
      <c r="G15" s="7" t="inlineStr">
        <is>
          <t>모듈(식)</t>
        </is>
      </c>
      <c r="H15" s="7" t="inlineStr">
        <is>
          <t>금액</t>
        </is>
      </c>
      <c r="I15" s="7" t="inlineStr">
        <is>
          <t>할인금액</t>
        </is>
      </c>
      <c r="J15" s="8" t="inlineStr">
        <is>
          <t>비고</t>
        </is>
      </c>
    </row>
    <row r="16" ht="39.95" customHeight="1">
      <c r="B16" s="9" t="inlineStr">
        <is>
          <t>AI 가드레일 구축 — KYRA AI Guardrail (다중화 가드레일 · AI 플랫폼 탑재)</t>
        </is>
      </c>
      <c r="C16" s="10" t="n"/>
      <c r="D16" s="10" t="n"/>
      <c r="E16" s="10" t="n"/>
      <c r="F16" s="10" t="n"/>
      <c r="G16" s="10" t="n"/>
      <c r="H16" s="10" t="n"/>
      <c r="I16" s="10" t="n"/>
      <c r="J16" s="11" t="n"/>
    </row>
    <row r="17" ht="206" customHeight="1">
      <c r="B17" s="12" t="n">
        <v>1</v>
      </c>
      <c r="C17" s="13" t="inlineStr">
        <is>
          <t>KYRA
AI Guardrail</t>
        </is>
      </c>
      <c r="D17" s="13" t="n"/>
      <c r="E17" s="14" t="inlineStr">
        <is>
          <t>- AI 가드레일 구축 (KYRA AI Guardrail 1식)
  · 입력 · AI모델 동작 · 출력 3단계 다중화 가드레일
    (민감정보 필터링, 적대적 공격 방어, 서비스 거부 공격 대응, 응답 결과 변형)
  · 프롬프트 인젝션 방어, 유해 콘텐츠 · 개인정보 · 기밀데이터 자동 검출 및 마스킹
  · 응답 범위 제한(Topic Restriction), 사용자 권한별 기능 접근통제, 통합 관리 콘솔
  · 비정상 쿼리 패턴 · 반복적 우회 시도 · 과도한 요청(Rate Abuse) 탐지 및 관리자 경보
  · 전체 입·출력 이력 보존, 원인 추적 · 감사 기능, Syslog / SIEM 연동
  · AI 플랫폼 탑재 및 다중망(AI망 · 운영망 · 개발망 · DMZ · AI개발망) 설치 · 구성,
    운영자 교육 및 기술 이전</t>
        </is>
      </c>
      <c r="F17" s="15" t="n">
        <v>70000000</v>
      </c>
      <c r="G17" s="16" t="n">
        <v>1</v>
      </c>
      <c r="H17" s="15">
        <f>F17*G17</f>
        <v/>
      </c>
      <c r="I17" s="15" t="n">
        <v>0</v>
      </c>
      <c r="J17" s="17" t="inlineStr">
        <is>
          <t>SEC-006
SEC-008</t>
        </is>
      </c>
    </row>
    <row r="18" ht="28" customHeight="1">
      <c r="B18" s="18" t="inlineStr">
        <is>
          <t>소계</t>
        </is>
      </c>
      <c r="C18" s="19" t="n"/>
      <c r="D18" s="19" t="n"/>
      <c r="E18" s="19" t="n"/>
      <c r="F18" s="20" t="inlineStr">
        <is>
          <t>-</t>
        </is>
      </c>
      <c r="G18" s="20" t="inlineStr">
        <is>
          <t>-</t>
        </is>
      </c>
      <c r="H18" s="21">
        <f>SUM(H17:H17)</f>
        <v/>
      </c>
      <c r="I18" s="21" t="n">
        <v>0</v>
      </c>
      <c r="J18" s="22" t="n"/>
    </row>
    <row r="19" ht="26" customHeight="1">
      <c r="B19" s="12" t="n">
        <v>2</v>
      </c>
      <c r="C19" s="13" t="inlineStr">
        <is>
          <t>재경비</t>
        </is>
      </c>
      <c r="D19" s="13" t="n"/>
      <c r="E19" s="14" t="inlineStr">
        <is>
          <t>- 제공 기술에 대한 일반 재경비 (본 견적 미적용)</t>
        </is>
      </c>
      <c r="F19" s="16" t="inlineStr">
        <is>
          <t>-</t>
        </is>
      </c>
      <c r="G19" s="16" t="inlineStr">
        <is>
          <t>-</t>
        </is>
      </c>
      <c r="H19" s="15" t="n">
        <v>0</v>
      </c>
      <c r="I19" s="15" t="n">
        <v>0</v>
      </c>
      <c r="J19" s="17" t="inlineStr">
        <is>
          <t>0원</t>
        </is>
      </c>
    </row>
    <row r="20" ht="26" customHeight="1">
      <c r="B20" s="12" t="n">
        <v>3</v>
      </c>
      <c r="C20" s="13" t="inlineStr">
        <is>
          <t>기술료</t>
        </is>
      </c>
      <c r="D20" s="13" t="n"/>
      <c r="E20" s="14" t="inlineStr">
        <is>
          <t>- 제공 기술료 (본 견적 미적용)</t>
        </is>
      </c>
      <c r="F20" s="16" t="inlineStr">
        <is>
          <t>-</t>
        </is>
      </c>
      <c r="G20" s="16" t="inlineStr">
        <is>
          <t>-</t>
        </is>
      </c>
      <c r="H20" s="15" t="n">
        <v>0</v>
      </c>
      <c r="I20" s="15" t="n">
        <v>0</v>
      </c>
      <c r="J20" s="17" t="inlineStr">
        <is>
          <t>0원</t>
        </is>
      </c>
    </row>
    <row r="21" ht="28" customHeight="1">
      <c r="B21" s="23" t="inlineStr">
        <is>
          <t>소계</t>
        </is>
      </c>
      <c r="C21" s="24" t="n"/>
      <c r="D21" s="24" t="n"/>
      <c r="E21" s="24" t="n"/>
      <c r="F21" s="25" t="inlineStr">
        <is>
          <t>-</t>
        </is>
      </c>
      <c r="G21" s="25" t="inlineStr">
        <is>
          <t>-</t>
        </is>
      </c>
      <c r="H21" s="26">
        <f>SUM(H19:H20)</f>
        <v/>
      </c>
      <c r="I21" s="26" t="n">
        <v>0</v>
      </c>
      <c r="J21" s="27" t="n"/>
    </row>
    <row r="22" ht="30" customHeight="1">
      <c r="B22" s="28" t="inlineStr">
        <is>
          <t>합계</t>
        </is>
      </c>
      <c r="C22" s="29" t="n"/>
      <c r="D22" s="29" t="n"/>
      <c r="E22" s="29" t="n"/>
      <c r="F22" s="30" t="inlineStr">
        <is>
          <t>-</t>
        </is>
      </c>
      <c r="G22" s="30" t="inlineStr">
        <is>
          <t>-</t>
        </is>
      </c>
      <c r="H22" s="31">
        <f>H18+H21</f>
        <v/>
      </c>
      <c r="I22" s="31">
        <f>I18+I21</f>
        <v/>
      </c>
      <c r="J22" s="32" t="n"/>
    </row>
    <row r="23" ht="20.1" customHeight="1">
      <c r="B23" s="33" t="inlineStr">
        <is>
          <t>특별 견적 금액</t>
        </is>
      </c>
      <c r="C23" s="34" t="n"/>
      <c r="D23" s="34" t="n"/>
      <c r="E23" s="34" t="n"/>
      <c r="F23" s="34" t="n"/>
      <c r="G23" s="34" t="n"/>
      <c r="H23" s="35">
        <f>H22</f>
        <v/>
      </c>
      <c r="I23" s="35">
        <f>H22</f>
        <v/>
      </c>
      <c r="J23" s="36" t="inlineStr">
        <is>
          <t>*할인률</t>
        </is>
      </c>
    </row>
    <row r="24" ht="20.1" customHeight="1">
      <c r="B24" s="37" t="n"/>
      <c r="C24" s="38" t="n"/>
      <c r="D24" s="38" t="n"/>
      <c r="E24" s="38" t="n"/>
      <c r="F24" s="38" t="n"/>
      <c r="G24" s="38" t="n"/>
      <c r="H24" s="38" t="n"/>
      <c r="I24" s="38" t="n"/>
      <c r="J24" s="39">
        <f>100%-(I23/H23)</f>
        <v/>
      </c>
    </row>
    <row r="25" ht="94" customHeight="1">
      <c r="B25" s="40" t="inlineStr">
        <is>
          <t>※ 비 고
   - 본 견적은 공공사업 RFI 요건 SEC-006(AI시스템 가드레일 다중화 구성) 및 SEC-008(AI 플랫폼 내 가드레일 탑재) 대응 범위에 대한 견적입니다.
   - 당사 KYRA AI Guardrail 1식 정액으로 산정하였으며, 재경비 및 기술료는 적용하지 않았습니다.
   - 상기 금액은 부가가치세(VAT) 별도 금액이며, 계약 조건은 계약서에 따릅니다.
   - 서버·스토리지 등 하드웨어, 상용 LLM API 사용료, 타사 솔루션 라이선스 비용은 본 견적에 포함되어 있지 않습니다.</t>
        </is>
      </c>
      <c r="C25" s="41" t="n"/>
      <c r="D25" s="41" t="n"/>
      <c r="E25" s="41" t="n"/>
      <c r="F25" s="41" t="n"/>
      <c r="G25" s="41" t="n"/>
      <c r="H25" s="41" t="n"/>
      <c r="I25" s="41" t="n"/>
      <c r="J25" s="42" t="n"/>
    </row>
    <row r="26" ht="12" customHeight="1">
      <c r="B26" s="43" t="n"/>
      <c r="C26" s="44" t="n"/>
      <c r="D26" s="44" t="n"/>
      <c r="E26" s="44" t="n"/>
      <c r="F26" s="44" t="n"/>
      <c r="G26" s="44" t="n"/>
      <c r="H26" s="44" t="n"/>
      <c r="I26" s="44" t="n"/>
      <c r="J26" s="45" t="n"/>
    </row>
  </sheetData>
  <mergeCells count="17">
    <mergeCell ref="C20:D20"/>
    <mergeCell ref="B18:E18"/>
    <mergeCell ref="B23:E24"/>
    <mergeCell ref="G23:G24"/>
    <mergeCell ref="B25:J26"/>
    <mergeCell ref="C15:D15"/>
    <mergeCell ref="B14:J14"/>
    <mergeCell ref="C19:D19"/>
    <mergeCell ref="B21:E21"/>
    <mergeCell ref="B1:J1"/>
    <mergeCell ref="H23:H24"/>
    <mergeCell ref="F23:F24"/>
    <mergeCell ref="I23:I24"/>
    <mergeCell ref="C17:D17"/>
    <mergeCell ref="B4:F5"/>
    <mergeCell ref="B22:E22"/>
    <mergeCell ref="B16:J16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2026-08-28T02:38:00Z</dcterms:created>
  <dcterms:modified xmlns:dcterms="http://purl.org/dc/terms/" xmlns:xsi="http://www.w3.org/2001/XMLSchema-instance" xsi:type="dcterms:W3CDTF">2026-08-28T02:38:00Z</dcterms:modified>
</cp:coreProperties>
</file>