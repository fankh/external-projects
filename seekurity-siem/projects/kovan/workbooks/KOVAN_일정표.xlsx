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Deployment Schedu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esour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1B2838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1B2838"/>
        <bgColor rgb="FF1B2838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2E5090"/>
        <bgColor rgb="FF2E5090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3D7EAA"/>
        <bgColor rgb="FF3D7EAA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medium">
        <color rgb="FF2E5090"/>
      </top>
      <bottom style="medium">
        <color rgb="FF2E509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4" fillId="7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vertical="center"/>
    </xf>
    <xf numFmtId="0" fontId="4" fillId="8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  <xf numFmtId="0" fontId="6" fillId="11" borderId="2" applyAlignment="1" pivotButton="0" quotePrefix="0" xfId="0">
      <alignment vertical="center"/>
    </xf>
    <xf numFmtId="0" fontId="6" fillId="12" borderId="2" applyAlignment="1" pivotButton="0" quotePrefix="0" xfId="0">
      <alignment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0" pivotButton="0" quotePrefix="0" xfId="0"/>
    <xf numFmtId="0" fontId="0" fillId="7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0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1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/>
    </xf>
    <xf numFmtId="14" fontId="4" fillId="5" borderId="2" applyAlignment="1" pivotButton="0" quotePrefix="0" xfId="0">
      <alignment horizontal="center" vertical="center"/>
    </xf>
    <xf numFmtId="14" fontId="4" fillId="8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C4" sqref="C4"/>
    </sheetView>
  </sheetViews>
  <sheetFormatPr baseColWidth="8" defaultRowHeight="16.5"/>
  <cols>
    <col width="5" customWidth="1" style="30" min="1" max="1"/>
    <col width="14.375" bestFit="1" customWidth="1" style="30" min="2" max="2"/>
    <col width="40" customWidth="1" style="30" min="3" max="3"/>
    <col width="10" customWidth="1" style="30" min="4" max="6"/>
    <col width="12" customWidth="1" style="30" min="7" max="8"/>
    <col width="10" customWidth="1" style="30" min="9" max="10"/>
    <col width="30" customWidth="1" style="30" min="11" max="11"/>
    <col width="20" customWidth="1" style="30" min="12" max="12"/>
  </cols>
  <sheetData>
    <row r="1" ht="35.1" customHeight="1" s="30">
      <c r="A1" s="31" t="inlineStr">
        <is>
          <t>Seekurity SIEM 구축 일정표</t>
        </is>
      </c>
    </row>
    <row r="2" ht="20.1" customHeight="1" s="30">
      <c r="A2" s="29" t="inlineStr">
        <is>
          <t>프로젝트: KOVAN SIEM 구축 | 시작일: 2026-01-13 | 작성일: 2026-01-13</t>
        </is>
      </c>
    </row>
    <row r="3" ht="30" customHeight="1" s="30">
      <c r="A3" s="1" t="inlineStr">
        <is>
          <t>No.</t>
        </is>
      </c>
      <c r="B3" s="1" t="inlineStr">
        <is>
          <t>Phase</t>
        </is>
      </c>
      <c r="C3" s="1" t="inlineStr">
        <is>
          <t>Task</t>
        </is>
      </c>
      <c r="D3" s="1" t="inlineStr">
        <is>
          <t>담당자</t>
        </is>
      </c>
      <c r="E3" s="1" t="inlineStr">
        <is>
          <t>우선순위</t>
        </is>
      </c>
      <c r="F3" s="1" t="inlineStr">
        <is>
          <t>예상 기간</t>
        </is>
      </c>
      <c r="G3" s="1" t="inlineStr">
        <is>
          <t>시작일</t>
        </is>
      </c>
      <c r="H3" s="1" t="inlineStr">
        <is>
          <t>종료일</t>
        </is>
      </c>
      <c r="I3" s="1" t="inlineStr">
        <is>
          <t>진행률</t>
        </is>
      </c>
      <c r="J3" s="1" t="inlineStr">
        <is>
          <t>Status</t>
        </is>
      </c>
      <c r="K3" s="1" t="inlineStr">
        <is>
          <t>이슈/비고</t>
        </is>
      </c>
      <c r="L3" s="1" t="inlineStr">
        <is>
          <t>산출물</t>
        </is>
      </c>
    </row>
    <row r="4">
      <c r="A4" s="2" t="n">
        <v>1</v>
      </c>
      <c r="B4" s="36" t="inlineStr">
        <is>
          <t>1. 준비 단계</t>
        </is>
      </c>
      <c r="C4" s="3" t="inlineStr">
        <is>
          <t>프로젝트 킥오프 미팅</t>
        </is>
      </c>
      <c r="D4" s="2" t="inlineStr">
        <is>
          <t>PM</t>
        </is>
      </c>
      <c r="E4" s="2" t="inlineStr">
        <is>
          <t>중간</t>
        </is>
      </c>
      <c r="F4" s="2">
        <f>IF(AND(G4&lt;&gt;"",H4&lt;&gt;""),H4-G4+1&amp;"일","")</f>
        <v/>
      </c>
      <c r="G4" s="2" t="inlineStr">
        <is>
          <t>2026-01-13</t>
        </is>
      </c>
      <c r="H4" s="2" t="inlineStr">
        <is>
          <t>2026-01-13</t>
        </is>
      </c>
      <c r="I4" s="39" t="n">
        <v>1</v>
      </c>
      <c r="J4" s="4" t="inlineStr">
        <is>
          <t>완료</t>
        </is>
      </c>
      <c r="K4" s="5" t="n"/>
      <c r="L4" s="3" t="n"/>
    </row>
    <row r="5">
      <c r="A5" s="6" t="n">
        <v>2</v>
      </c>
      <c r="B5" s="33" t="n"/>
      <c r="C5" s="7" t="inlineStr">
        <is>
          <t>프로젝트 범위 확정</t>
        </is>
      </c>
      <c r="D5" s="6" t="inlineStr">
        <is>
          <t>PM</t>
        </is>
      </c>
      <c r="E5" s="6" t="inlineStr">
        <is>
          <t>중간</t>
        </is>
      </c>
      <c r="F5" s="6">
        <f>IF(AND(G5&lt;&gt;"",H5&lt;&gt;""),H5-G5+1&amp;"일","")</f>
        <v/>
      </c>
      <c r="G5" s="6" t="inlineStr">
        <is>
          <t>2026-01-14</t>
        </is>
      </c>
      <c r="H5" s="6" t="inlineStr">
        <is>
          <t>2026-01-15</t>
        </is>
      </c>
      <c r="I5" s="6" t="inlineStr">
        <is>
          <t>0%</t>
        </is>
      </c>
      <c r="J5" s="4" t="inlineStr">
        <is>
          <t>대기</t>
        </is>
      </c>
      <c r="K5" s="8" t="n"/>
      <c r="L5" s="7" t="n"/>
    </row>
    <row r="6">
      <c r="A6" s="2" t="n">
        <v>3</v>
      </c>
      <c r="B6" s="33" t="n"/>
      <c r="C6" s="3" t="inlineStr">
        <is>
          <t>현행 시스템 분석</t>
        </is>
      </c>
      <c r="D6" s="2" t="inlineStr">
        <is>
          <t>Engineer</t>
        </is>
      </c>
      <c r="E6" s="2" t="inlineStr">
        <is>
          <t>중간</t>
        </is>
      </c>
      <c r="F6" s="2">
        <f>IF(AND(G6&lt;&gt;"",H6&lt;&gt;""),H6-G6+1&amp;"일","")</f>
        <v/>
      </c>
      <c r="G6" s="2" t="inlineStr">
        <is>
          <t>2026-01-15</t>
        </is>
      </c>
      <c r="H6" s="2" t="inlineStr">
        <is>
          <t>2026-01-15</t>
        </is>
      </c>
      <c r="I6" s="2" t="inlineStr">
        <is>
          <t>0%</t>
        </is>
      </c>
      <c r="J6" s="4" t="inlineStr">
        <is>
          <t>대기</t>
        </is>
      </c>
      <c r="K6" s="5" t="n"/>
      <c r="L6" s="3" t="n"/>
    </row>
    <row r="7">
      <c r="A7" s="6" t="n">
        <v>4</v>
      </c>
      <c r="B7" s="33" t="n"/>
      <c r="C7" s="7" t="inlineStr">
        <is>
          <t>Log Source 목록 확정</t>
        </is>
      </c>
      <c r="D7" s="6" t="inlineStr">
        <is>
          <t>Engineer</t>
        </is>
      </c>
      <c r="E7" s="6" t="inlineStr">
        <is>
          <t>중간</t>
        </is>
      </c>
      <c r="F7" s="6">
        <f>IF(AND(G7&lt;&gt;"",H7&lt;&gt;""),H7-G7+1&amp;"일","")</f>
        <v/>
      </c>
      <c r="G7" s="6" t="inlineStr">
        <is>
          <t>2026-01-15</t>
        </is>
      </c>
      <c r="H7" s="6" t="inlineStr">
        <is>
          <t>2026-01-15</t>
        </is>
      </c>
      <c r="I7" s="6" t="inlineStr">
        <is>
          <t>0%</t>
        </is>
      </c>
      <c r="J7" s="4" t="inlineStr">
        <is>
          <t>대기</t>
        </is>
      </c>
      <c r="K7" s="8" t="n"/>
      <c r="L7" s="7" t="n"/>
    </row>
    <row r="8">
      <c r="A8" s="2" t="n">
        <v>5</v>
      </c>
      <c r="B8" s="33" t="n"/>
      <c r="C8" s="3" t="inlineStr">
        <is>
          <t>네트워크 구성도 확보</t>
        </is>
      </c>
      <c r="D8" s="2" t="inlineStr">
        <is>
          <t>고객사</t>
        </is>
      </c>
      <c r="E8" s="2" t="inlineStr">
        <is>
          <t>중간</t>
        </is>
      </c>
      <c r="F8" s="2">
        <f>IF(AND(G8&lt;&gt;"",H8&lt;&gt;""),H8-G8+1&amp;"일","")</f>
        <v/>
      </c>
      <c r="G8" s="2" t="inlineStr">
        <is>
          <t>2026-01-15</t>
        </is>
      </c>
      <c r="H8" s="2" t="inlineStr">
        <is>
          <t>2026-01-15</t>
        </is>
      </c>
      <c r="I8" s="2" t="inlineStr">
        <is>
          <t>0%</t>
        </is>
      </c>
      <c r="J8" s="4" t="inlineStr">
        <is>
          <t>대기</t>
        </is>
      </c>
      <c r="K8" s="5" t="n"/>
      <c r="L8" s="3" t="n"/>
    </row>
    <row r="9">
      <c r="A9" s="6" t="n">
        <v>6</v>
      </c>
      <c r="B9" s="33" t="n"/>
      <c r="C9" s="7" t="inlineStr">
        <is>
          <t>방화벽 정책 요청</t>
        </is>
      </c>
      <c r="D9" s="6" t="inlineStr">
        <is>
          <t>고객사</t>
        </is>
      </c>
      <c r="E9" s="6" t="inlineStr">
        <is>
          <t>중간</t>
        </is>
      </c>
      <c r="F9" s="6">
        <f>IF(AND(G9&lt;&gt;"",H9&lt;&gt;""),H9-G9+1&amp;"일","")</f>
        <v/>
      </c>
      <c r="G9" s="6" t="inlineStr">
        <is>
          <t>2026-01-15</t>
        </is>
      </c>
      <c r="H9" s="6" t="inlineStr">
        <is>
          <t>2026-01-15</t>
        </is>
      </c>
      <c r="I9" s="6" t="inlineStr">
        <is>
          <t>0%</t>
        </is>
      </c>
      <c r="J9" s="4" t="inlineStr">
        <is>
          <t>대기</t>
        </is>
      </c>
      <c r="K9" s="8" t="n"/>
      <c r="L9" s="7" t="n"/>
    </row>
    <row r="10">
      <c r="A10" s="2" t="n">
        <v>7</v>
      </c>
      <c r="B10" s="34" t="n"/>
      <c r="C10" s="3" t="inlineStr">
        <is>
          <t>서버 자원 할당</t>
        </is>
      </c>
      <c r="D10" s="2" t="inlineStr">
        <is>
          <t>고객사</t>
        </is>
      </c>
      <c r="E10" s="2" t="inlineStr">
        <is>
          <t>중간</t>
        </is>
      </c>
      <c r="F10" s="2">
        <f>IF(AND(G10&lt;&gt;"",H10&lt;&gt;""),H10-G10+1&amp;"일","")</f>
        <v/>
      </c>
      <c r="G10" s="2" t="inlineStr">
        <is>
          <t>2026-01-14</t>
        </is>
      </c>
      <c r="H10" s="2" t="inlineStr">
        <is>
          <t>2026-01-14</t>
        </is>
      </c>
      <c r="I10" s="2" t="inlineStr">
        <is>
          <t>0%</t>
        </is>
      </c>
      <c r="J10" s="4" t="inlineStr">
        <is>
          <t>대기</t>
        </is>
      </c>
      <c r="K10" s="5" t="n"/>
      <c r="L10" s="3" t="n"/>
    </row>
    <row r="11">
      <c r="A11" s="6" t="n">
        <v>8</v>
      </c>
      <c r="B11" s="38" t="inlineStr">
        <is>
          <t>2. 설계 단계</t>
        </is>
      </c>
      <c r="C11" s="7" t="inlineStr">
        <is>
          <t>SIEM Architecture 설계</t>
        </is>
      </c>
      <c r="D11" s="6" t="inlineStr">
        <is>
          <t>Engineer</t>
        </is>
      </c>
      <c r="E11" s="6" t="inlineStr">
        <is>
          <t>중간</t>
        </is>
      </c>
      <c r="F11" s="6">
        <f>IF(AND(G11&lt;&gt;"",H11&lt;&gt;""),H11-G11+1&amp;"일","")</f>
        <v/>
      </c>
      <c r="G11" s="6" t="inlineStr">
        <is>
          <t>2026-01-13</t>
        </is>
      </c>
      <c r="H11" s="6" t="inlineStr">
        <is>
          <t>2026-01-13</t>
        </is>
      </c>
      <c r="I11" s="6" t="inlineStr">
        <is>
          <t>0%</t>
        </is>
      </c>
      <c r="J11" s="4" t="inlineStr">
        <is>
          <t>대기</t>
        </is>
      </c>
      <c r="K11" s="8" t="n"/>
      <c r="L11" s="7" t="n"/>
    </row>
    <row r="12">
      <c r="A12" s="2" t="n">
        <v>9</v>
      </c>
      <c r="B12" s="33" t="n"/>
      <c r="C12" s="3" t="inlineStr">
        <is>
          <t>Log 수집 설계</t>
        </is>
      </c>
      <c r="D12" s="2" t="inlineStr">
        <is>
          <t>Engineer</t>
        </is>
      </c>
      <c r="E12" s="2" t="inlineStr">
        <is>
          <t>중간</t>
        </is>
      </c>
      <c r="F12" s="2">
        <f>IF(AND(G12&lt;&gt;"",H12&lt;&gt;""),H12-G12+1&amp;"일","")</f>
        <v/>
      </c>
      <c r="G12" s="2" t="inlineStr">
        <is>
          <t>2026-01-13</t>
        </is>
      </c>
      <c r="H12" s="40" t="n">
        <v>46037</v>
      </c>
      <c r="I12" s="2" t="inlineStr">
        <is>
          <t>0%</t>
        </is>
      </c>
      <c r="J12" s="4" t="inlineStr">
        <is>
          <t>대기</t>
        </is>
      </c>
      <c r="K12" s="5" t="n"/>
      <c r="L12" s="3" t="n"/>
    </row>
    <row r="13">
      <c r="A13" s="6" t="n">
        <v>10</v>
      </c>
      <c r="B13" s="33" t="n"/>
      <c r="C13" s="7" t="inlineStr">
        <is>
          <t>Parser 설계</t>
        </is>
      </c>
      <c r="D13" s="6" t="inlineStr">
        <is>
          <t>Engineer</t>
        </is>
      </c>
      <c r="E13" s="6" t="inlineStr">
        <is>
          <t>중간</t>
        </is>
      </c>
      <c r="F13" s="6">
        <f>IF(AND(G13&lt;&gt;"",H13&lt;&gt;""),H13-G13+1&amp;"일","")</f>
        <v/>
      </c>
      <c r="G13" s="41" t="n">
        <v>46041</v>
      </c>
      <c r="H13" s="41" t="n">
        <v>46045</v>
      </c>
      <c r="I13" s="6" t="inlineStr">
        <is>
          <t>0%</t>
        </is>
      </c>
      <c r="J13" s="4" t="inlineStr">
        <is>
          <t>대기</t>
        </is>
      </c>
      <c r="K13" s="8" t="n"/>
      <c r="L13" s="7" t="n"/>
    </row>
    <row r="14">
      <c r="A14" s="2" t="n">
        <v>11</v>
      </c>
      <c r="B14" s="33" t="n"/>
      <c r="C14" s="3" t="inlineStr">
        <is>
          <t>Use Case 설계</t>
        </is>
      </c>
      <c r="D14" s="2" t="inlineStr">
        <is>
          <t>Engineer</t>
        </is>
      </c>
      <c r="E14" s="2" t="inlineStr">
        <is>
          <t>중간</t>
        </is>
      </c>
      <c r="F14" s="2">
        <f>IF(AND(G14&lt;&gt;"",H14&lt;&gt;""),H14-G14+1&amp;"일","")</f>
        <v/>
      </c>
      <c r="G14" s="40" t="n">
        <v>46041</v>
      </c>
      <c r="H14" s="40" t="n">
        <v>46043</v>
      </c>
      <c r="I14" s="2" t="inlineStr">
        <is>
          <t>0%</t>
        </is>
      </c>
      <c r="J14" s="4" t="inlineStr">
        <is>
          <t>대기</t>
        </is>
      </c>
      <c r="K14" s="5" t="n"/>
      <c r="L14" s="3" t="n"/>
    </row>
    <row r="15">
      <c r="A15" s="6" t="n">
        <v>12</v>
      </c>
      <c r="B15" s="33" t="n"/>
      <c r="C15" s="7" t="inlineStr">
        <is>
          <t>Dashboard 설계</t>
        </is>
      </c>
      <c r="D15" s="6" t="inlineStr">
        <is>
          <t>Engineer</t>
        </is>
      </c>
      <c r="E15" s="6" t="inlineStr">
        <is>
          <t>중간</t>
        </is>
      </c>
      <c r="F15" s="6">
        <f>IF(AND(G15&lt;&gt;"",H15&lt;&gt;""),H15-G15+1&amp;"일","")</f>
        <v/>
      </c>
      <c r="G15" s="41" t="n">
        <v>46042</v>
      </c>
      <c r="H15" s="41" t="n">
        <v>46042</v>
      </c>
      <c r="I15" s="6" t="inlineStr">
        <is>
          <t>0%</t>
        </is>
      </c>
      <c r="J15" s="4" t="inlineStr">
        <is>
          <t>대기</t>
        </is>
      </c>
      <c r="K15" s="8" t="n"/>
      <c r="L15" s="7" t="n"/>
    </row>
    <row r="16">
      <c r="A16" s="2" t="n">
        <v>13</v>
      </c>
      <c r="B16" s="33" t="n"/>
      <c r="C16" s="3" t="inlineStr">
        <is>
          <t>Alert Rule 설계</t>
        </is>
      </c>
      <c r="D16" s="2" t="inlineStr">
        <is>
          <t>Engineer</t>
        </is>
      </c>
      <c r="E16" s="2" t="inlineStr">
        <is>
          <t>중간</t>
        </is>
      </c>
      <c r="F16" s="2">
        <f>IF(AND(G16&lt;&gt;"",H16&lt;&gt;""),H16-G16+1&amp;"일","")</f>
        <v/>
      </c>
      <c r="G16" s="40" t="n">
        <v>46042</v>
      </c>
      <c r="H16" s="40" t="n">
        <v>46047</v>
      </c>
      <c r="I16" s="2" t="inlineStr">
        <is>
          <t>0%</t>
        </is>
      </c>
      <c r="J16" s="4" t="inlineStr">
        <is>
          <t>대기</t>
        </is>
      </c>
      <c r="K16" s="5" t="n"/>
      <c r="L16" s="3" t="n"/>
    </row>
    <row r="17">
      <c r="A17" s="6" t="n">
        <v>14</v>
      </c>
      <c r="B17" s="34" t="n"/>
      <c r="C17" s="7" t="inlineStr">
        <is>
          <t>설계 검토 및 승인</t>
        </is>
      </c>
      <c r="D17" s="6" t="inlineStr">
        <is>
          <t>PM</t>
        </is>
      </c>
      <c r="E17" s="6" t="inlineStr">
        <is>
          <t>중간</t>
        </is>
      </c>
      <c r="F17" s="6">
        <f>IF(AND(G17&lt;&gt;"",H17&lt;&gt;""),H17-G17+1&amp;"일","")</f>
        <v/>
      </c>
      <c r="G17" s="41" t="n">
        <v>46047</v>
      </c>
      <c r="H17" s="41" t="n">
        <v>46047</v>
      </c>
      <c r="I17" s="6" t="inlineStr">
        <is>
          <t>0%</t>
        </is>
      </c>
      <c r="J17" s="4" t="inlineStr">
        <is>
          <t>대기</t>
        </is>
      </c>
      <c r="K17" s="8" t="n"/>
      <c r="L17" s="7" t="n"/>
    </row>
    <row r="18">
      <c r="A18" s="2" t="n">
        <v>15</v>
      </c>
      <c r="B18" s="32" t="inlineStr">
        <is>
          <t>3. 구축 단계</t>
        </is>
      </c>
      <c r="C18" s="3" t="inlineStr">
        <is>
          <t>Seekurity SIEM 설치</t>
        </is>
      </c>
      <c r="D18" s="2" t="inlineStr">
        <is>
          <t>Engineer</t>
        </is>
      </c>
      <c r="E18" s="2" t="inlineStr">
        <is>
          <t>중간</t>
        </is>
      </c>
      <c r="F18" s="2">
        <f>IF(AND(G18&lt;&gt;"",H18&lt;&gt;""),H18-G18+1&amp;"일","")</f>
        <v/>
      </c>
      <c r="G18" s="2" t="inlineStr">
        <is>
          <t>2026-01-13</t>
        </is>
      </c>
      <c r="H18" s="2" t="inlineStr">
        <is>
          <t>2026-01-13</t>
        </is>
      </c>
      <c r="I18" s="2" t="inlineStr">
        <is>
          <t>0%</t>
        </is>
      </c>
      <c r="J18" s="4" t="inlineStr">
        <is>
          <t>대기</t>
        </is>
      </c>
      <c r="K18" s="5" t="n"/>
      <c r="L18" s="3" t="n"/>
    </row>
    <row r="19">
      <c r="A19" s="6" t="n">
        <v>16</v>
      </c>
      <c r="B19" s="33" t="n"/>
      <c r="C19" s="7" t="inlineStr">
        <is>
          <t>Collector 구성</t>
        </is>
      </c>
      <c r="D19" s="6" t="inlineStr">
        <is>
          <t>Engineer</t>
        </is>
      </c>
      <c r="E19" s="6" t="inlineStr">
        <is>
          <t>중간</t>
        </is>
      </c>
      <c r="F19" s="6">
        <f>IF(AND(G19&lt;&gt;"",H19&lt;&gt;""),H19-G19+1&amp;"일","")</f>
        <v/>
      </c>
      <c r="G19" s="6" t="inlineStr">
        <is>
          <t>2026-01-13</t>
        </is>
      </c>
      <c r="H19" s="6" t="inlineStr">
        <is>
          <t>2026-01-13</t>
        </is>
      </c>
      <c r="I19" s="6" t="inlineStr">
        <is>
          <t>0%</t>
        </is>
      </c>
      <c r="J19" s="4" t="inlineStr">
        <is>
          <t>대기</t>
        </is>
      </c>
      <c r="K19" s="8" t="n"/>
      <c r="L19" s="7" t="n"/>
    </row>
    <row r="20">
      <c r="A20" s="2" t="n">
        <v>17</v>
      </c>
      <c r="B20" s="33" t="n"/>
      <c r="C20" s="3" t="inlineStr">
        <is>
          <t>Network Security 연동</t>
        </is>
      </c>
      <c r="D20" s="2" t="inlineStr">
        <is>
          <t>Engineer</t>
        </is>
      </c>
      <c r="E20" s="2" t="inlineStr">
        <is>
          <t>중간</t>
        </is>
      </c>
      <c r="F20" s="2">
        <f>IF(AND(G20&lt;&gt;"",H20&lt;&gt;""),H20-G20+1&amp;"일","")</f>
        <v/>
      </c>
      <c r="G20" s="2" t="inlineStr">
        <is>
          <t>2026-01-13</t>
        </is>
      </c>
      <c r="H20" s="2" t="inlineStr">
        <is>
          <t>2026-01-13</t>
        </is>
      </c>
      <c r="I20" s="2" t="inlineStr">
        <is>
          <t>0%</t>
        </is>
      </c>
      <c r="J20" s="4" t="inlineStr">
        <is>
          <t>대기</t>
        </is>
      </c>
      <c r="K20" s="5" t="n"/>
      <c r="L20" s="3" t="n"/>
    </row>
    <row r="21">
      <c r="A21" s="6" t="n">
        <v>18</v>
      </c>
      <c r="B21" s="33" t="n"/>
      <c r="C21" s="7" t="inlineStr">
        <is>
          <t>Endpoint Security 연동</t>
        </is>
      </c>
      <c r="D21" s="6" t="inlineStr">
        <is>
          <t>Engineer</t>
        </is>
      </c>
      <c r="E21" s="6" t="inlineStr">
        <is>
          <t>중간</t>
        </is>
      </c>
      <c r="F21" s="6">
        <f>IF(AND(G21&lt;&gt;"",H21&lt;&gt;""),H21-G21+1&amp;"일","")</f>
        <v/>
      </c>
      <c r="G21" s="6" t="inlineStr">
        <is>
          <t>2026-01-13</t>
        </is>
      </c>
      <c r="H21" s="6" t="inlineStr">
        <is>
          <t>2026-01-13</t>
        </is>
      </c>
      <c r="I21" s="6" t="inlineStr">
        <is>
          <t>0%</t>
        </is>
      </c>
      <c r="J21" s="4" t="inlineStr">
        <is>
          <t>대기</t>
        </is>
      </c>
      <c r="K21" s="8" t="n"/>
      <c r="L21" s="7" t="n"/>
    </row>
    <row r="22">
      <c r="A22" s="2" t="n">
        <v>19</v>
      </c>
      <c r="B22" s="33" t="n"/>
      <c r="C22" s="3" t="inlineStr">
        <is>
          <t>Data &amp; Application 연동</t>
        </is>
      </c>
      <c r="D22" s="2" t="inlineStr">
        <is>
          <t>Engineer</t>
        </is>
      </c>
      <c r="E22" s="2" t="inlineStr">
        <is>
          <t>중간</t>
        </is>
      </c>
      <c r="F22" s="2">
        <f>IF(AND(G22&lt;&gt;"",H22&lt;&gt;""),H22-G22+1&amp;"일","")</f>
        <v/>
      </c>
      <c r="G22" s="2" t="inlineStr">
        <is>
          <t>2026-01-13</t>
        </is>
      </c>
      <c r="H22" s="2" t="inlineStr">
        <is>
          <t>2026-01-13</t>
        </is>
      </c>
      <c r="I22" s="2" t="inlineStr">
        <is>
          <t>0%</t>
        </is>
      </c>
      <c r="J22" s="4" t="inlineStr">
        <is>
          <t>대기</t>
        </is>
      </c>
      <c r="K22" s="5" t="n"/>
      <c r="L22" s="3" t="n"/>
    </row>
    <row r="23">
      <c r="A23" s="6" t="n">
        <v>20</v>
      </c>
      <c r="B23" s="33" t="n"/>
      <c r="C23" s="7" t="inlineStr">
        <is>
          <t>Parser 개발 및 적용</t>
        </is>
      </c>
      <c r="D23" s="6" t="inlineStr">
        <is>
          <t>Engineer</t>
        </is>
      </c>
      <c r="E23" s="6" t="inlineStr">
        <is>
          <t>중간</t>
        </is>
      </c>
      <c r="F23" s="6">
        <f>IF(AND(G23&lt;&gt;"",H23&lt;&gt;""),H23-G23+1&amp;"일","")</f>
        <v/>
      </c>
      <c r="G23" s="6" t="inlineStr">
        <is>
          <t>2026-01-13</t>
        </is>
      </c>
      <c r="H23" s="6" t="inlineStr">
        <is>
          <t>2026-01-13</t>
        </is>
      </c>
      <c r="I23" s="6" t="inlineStr">
        <is>
          <t>0%</t>
        </is>
      </c>
      <c r="J23" s="4" t="inlineStr">
        <is>
          <t>대기</t>
        </is>
      </c>
      <c r="K23" s="8" t="n"/>
      <c r="L23" s="7" t="n"/>
    </row>
    <row r="24">
      <c r="A24" s="2" t="n">
        <v>21</v>
      </c>
      <c r="B24" s="33" t="n"/>
      <c r="C24" s="3" t="inlineStr">
        <is>
          <t>Use Case 구현</t>
        </is>
      </c>
      <c r="D24" s="2" t="inlineStr">
        <is>
          <t>Engineer</t>
        </is>
      </c>
      <c r="E24" s="2" t="inlineStr">
        <is>
          <t>중간</t>
        </is>
      </c>
      <c r="F24" s="2">
        <f>IF(AND(G24&lt;&gt;"",H24&lt;&gt;""),H24-G24+1&amp;"일","")</f>
        <v/>
      </c>
      <c r="G24" s="2" t="inlineStr">
        <is>
          <t>2026-01-13</t>
        </is>
      </c>
      <c r="H24" s="2" t="inlineStr">
        <is>
          <t>2026-01-13</t>
        </is>
      </c>
      <c r="I24" s="2" t="inlineStr">
        <is>
          <t>0%</t>
        </is>
      </c>
      <c r="J24" s="4" t="inlineStr">
        <is>
          <t>대기</t>
        </is>
      </c>
      <c r="K24" s="5" t="n"/>
      <c r="L24" s="3" t="n"/>
    </row>
    <row r="25">
      <c r="A25" s="6" t="n">
        <v>22</v>
      </c>
      <c r="B25" s="33" t="n"/>
      <c r="C25" s="7" t="inlineStr">
        <is>
          <t>Dashboard 구성</t>
        </is>
      </c>
      <c r="D25" s="6" t="inlineStr">
        <is>
          <t>Engineer</t>
        </is>
      </c>
      <c r="E25" s="6" t="inlineStr">
        <is>
          <t>중간</t>
        </is>
      </c>
      <c r="F25" s="6">
        <f>IF(AND(G25&lt;&gt;"",H25&lt;&gt;""),H25-G25+1&amp;"일","")</f>
        <v/>
      </c>
      <c r="G25" s="6" t="inlineStr">
        <is>
          <t>2026-01-13</t>
        </is>
      </c>
      <c r="H25" s="6" t="inlineStr">
        <is>
          <t>2026-01-13</t>
        </is>
      </c>
      <c r="I25" s="6" t="inlineStr">
        <is>
          <t>0%</t>
        </is>
      </c>
      <c r="J25" s="4" t="inlineStr">
        <is>
          <t>대기</t>
        </is>
      </c>
      <c r="K25" s="8" t="n"/>
      <c r="L25" s="7" t="n"/>
    </row>
    <row r="26">
      <c r="A26" s="2" t="n">
        <v>23</v>
      </c>
      <c r="B26" s="34" t="n"/>
      <c r="C26" s="3" t="inlineStr">
        <is>
          <t>Alert Rule 설정</t>
        </is>
      </c>
      <c r="D26" s="2" t="inlineStr">
        <is>
          <t>Engineer</t>
        </is>
      </c>
      <c r="E26" s="2" t="inlineStr">
        <is>
          <t>중간</t>
        </is>
      </c>
      <c r="F26" s="2">
        <f>IF(AND(G26&lt;&gt;"",H26&lt;&gt;""),H26-G26+1&amp;"일","")</f>
        <v/>
      </c>
      <c r="G26" s="2" t="inlineStr">
        <is>
          <t>2026-01-13</t>
        </is>
      </c>
      <c r="H26" s="2" t="inlineStr">
        <is>
          <t>2026-01-13</t>
        </is>
      </c>
      <c r="I26" s="2" t="inlineStr">
        <is>
          <t>0%</t>
        </is>
      </c>
      <c r="J26" s="4" t="inlineStr">
        <is>
          <t>대기</t>
        </is>
      </c>
      <c r="K26" s="5" t="n"/>
      <c r="L26" s="3" t="n"/>
    </row>
    <row r="27">
      <c r="A27" s="6" t="n">
        <v>24</v>
      </c>
      <c r="B27" s="37" t="inlineStr">
        <is>
          <t>4. 테스트 단계</t>
        </is>
      </c>
      <c r="C27" s="7" t="inlineStr">
        <is>
          <t>Log 수집 검증</t>
        </is>
      </c>
      <c r="D27" s="6" t="inlineStr">
        <is>
          <t>Engineer</t>
        </is>
      </c>
      <c r="E27" s="6" t="inlineStr">
        <is>
          <t>중간</t>
        </is>
      </c>
      <c r="F27" s="6">
        <f>IF(AND(G27&lt;&gt;"",H27&lt;&gt;""),H27-G27+1&amp;"일","")</f>
        <v/>
      </c>
      <c r="G27" s="41" t="n">
        <v>46045</v>
      </c>
      <c r="H27" s="41" t="n">
        <v>46045</v>
      </c>
      <c r="I27" s="6" t="inlineStr">
        <is>
          <t>0%</t>
        </is>
      </c>
      <c r="J27" s="4" t="inlineStr">
        <is>
          <t>대기</t>
        </is>
      </c>
      <c r="K27" s="8" t="n"/>
      <c r="L27" s="7" t="n"/>
    </row>
    <row r="28">
      <c r="A28" s="2" t="n">
        <v>25</v>
      </c>
      <c r="B28" s="33" t="n"/>
      <c r="C28" s="3" t="inlineStr">
        <is>
          <t>Parser 검증</t>
        </is>
      </c>
      <c r="D28" s="2" t="inlineStr">
        <is>
          <t>Engineer</t>
        </is>
      </c>
      <c r="E28" s="2" t="inlineStr">
        <is>
          <t>중간</t>
        </is>
      </c>
      <c r="F28" s="2">
        <f>IF(AND(G28&lt;&gt;"",H28&lt;&gt;""),H28-G28+1&amp;"일","")</f>
        <v/>
      </c>
      <c r="G28" s="40" t="n">
        <v>46045</v>
      </c>
      <c r="H28" s="40" t="n">
        <v>46045</v>
      </c>
      <c r="I28" s="2" t="inlineStr">
        <is>
          <t>0%</t>
        </is>
      </c>
      <c r="J28" s="4" t="inlineStr">
        <is>
          <t>대기</t>
        </is>
      </c>
      <c r="K28" s="5" t="n"/>
      <c r="L28" s="3" t="n"/>
    </row>
    <row r="29">
      <c r="A29" s="6" t="n">
        <v>26</v>
      </c>
      <c r="B29" s="33" t="n"/>
      <c r="C29" s="7" t="inlineStr">
        <is>
          <t>Use Case 테스트</t>
        </is>
      </c>
      <c r="D29" s="6" t="inlineStr">
        <is>
          <t>Engineer</t>
        </is>
      </c>
      <c r="E29" s="6" t="inlineStr">
        <is>
          <t>중간</t>
        </is>
      </c>
      <c r="F29" s="6">
        <f>IF(AND(G29&lt;&gt;"",H29&lt;&gt;""),H29-G29+1&amp;"일","")</f>
        <v/>
      </c>
      <c r="G29" s="41" t="n">
        <v>46048</v>
      </c>
      <c r="H29" s="41" t="n">
        <v>46048</v>
      </c>
      <c r="I29" s="6" t="inlineStr">
        <is>
          <t>0%</t>
        </is>
      </c>
      <c r="J29" s="4" t="inlineStr">
        <is>
          <t>대기</t>
        </is>
      </c>
      <c r="K29" s="8" t="n"/>
      <c r="L29" s="7" t="n"/>
    </row>
    <row r="30">
      <c r="A30" s="2" t="n">
        <v>27</v>
      </c>
      <c r="B30" s="33" t="n"/>
      <c r="C30" s="3" t="inlineStr">
        <is>
          <t>Alert 발생 테스트</t>
        </is>
      </c>
      <c r="D30" s="2" t="inlineStr">
        <is>
          <t>Engineer</t>
        </is>
      </c>
      <c r="E30" s="2" t="inlineStr">
        <is>
          <t>중간</t>
        </is>
      </c>
      <c r="F30" s="2">
        <f>IF(AND(G30&lt;&gt;"",H30&lt;&gt;""),H30-G30+1&amp;"일","")</f>
        <v/>
      </c>
      <c r="G30" s="40" t="n">
        <v>46049</v>
      </c>
      <c r="H30" s="40" t="n">
        <v>46050</v>
      </c>
      <c r="I30" s="2" t="inlineStr">
        <is>
          <t>0%</t>
        </is>
      </c>
      <c r="J30" s="4" t="inlineStr">
        <is>
          <t>대기</t>
        </is>
      </c>
      <c r="K30" s="5" t="n"/>
      <c r="L30" s="3" t="n"/>
    </row>
    <row r="31">
      <c r="A31" s="6" t="n">
        <v>28</v>
      </c>
      <c r="B31" s="33" t="n"/>
      <c r="C31" s="7" t="inlineStr">
        <is>
          <t>성능 테스트</t>
        </is>
      </c>
      <c r="D31" s="6" t="inlineStr">
        <is>
          <t>Engineer</t>
        </is>
      </c>
      <c r="E31" s="6" t="inlineStr">
        <is>
          <t>중간</t>
        </is>
      </c>
      <c r="F31" s="6">
        <f>IF(AND(G31&lt;&gt;"",H31&lt;&gt;""),H31-G31+1&amp;"일","")</f>
        <v/>
      </c>
      <c r="G31" s="41" t="n">
        <v>46050</v>
      </c>
      <c r="H31" s="41" t="n">
        <v>46050</v>
      </c>
      <c r="I31" s="6" t="inlineStr">
        <is>
          <t>0%</t>
        </is>
      </c>
      <c r="J31" s="4" t="inlineStr">
        <is>
          <t>대기</t>
        </is>
      </c>
      <c r="K31" s="8" t="n"/>
      <c r="L31" s="7" t="n"/>
    </row>
    <row r="32">
      <c r="A32" s="2" t="n">
        <v>29</v>
      </c>
      <c r="B32" s="33" t="n"/>
      <c r="C32" s="3" t="inlineStr">
        <is>
          <t>사용자 교육</t>
        </is>
      </c>
      <c r="D32" s="2" t="inlineStr">
        <is>
          <t>Engineer</t>
        </is>
      </c>
      <c r="E32" s="2" t="inlineStr">
        <is>
          <t>중간</t>
        </is>
      </c>
      <c r="F32" s="2">
        <f>IF(AND(G32&lt;&gt;"",H32&lt;&gt;""),H32-G32+1&amp;"일","")</f>
        <v/>
      </c>
      <c r="G32" s="40" t="n">
        <v>46051</v>
      </c>
      <c r="H32" s="40" t="n">
        <v>46051</v>
      </c>
      <c r="I32" s="2" t="inlineStr">
        <is>
          <t>0%</t>
        </is>
      </c>
      <c r="J32" s="4" t="inlineStr">
        <is>
          <t>대기</t>
        </is>
      </c>
      <c r="K32" s="5" t="n"/>
      <c r="L32" s="3" t="n"/>
    </row>
    <row r="33">
      <c r="A33" s="6" t="n">
        <v>30</v>
      </c>
      <c r="B33" s="34" t="n"/>
      <c r="C33" s="7" t="inlineStr">
        <is>
          <t>기능 확인 (FVT)</t>
        </is>
      </c>
      <c r="D33" s="6" t="inlineStr">
        <is>
          <t>고객사</t>
        </is>
      </c>
      <c r="E33" s="6" t="inlineStr">
        <is>
          <t>중간</t>
        </is>
      </c>
      <c r="F33" s="6">
        <f>IF(AND(G33&lt;&gt;"",H33&lt;&gt;""),H33-G33+1&amp;"일","")</f>
        <v/>
      </c>
      <c r="G33" s="41" t="n">
        <v>46052</v>
      </c>
      <c r="H33" s="41" t="n">
        <v>46052</v>
      </c>
      <c r="I33" s="6" t="inlineStr">
        <is>
          <t>0%</t>
        </is>
      </c>
      <c r="J33" s="4" t="inlineStr">
        <is>
          <t>대기</t>
        </is>
      </c>
      <c r="K33" s="8" t="n"/>
      <c r="L33" s="7" t="n"/>
    </row>
    <row r="34">
      <c r="A34" s="2" t="n">
        <v>31</v>
      </c>
      <c r="B34" s="35" t="inlineStr">
        <is>
          <t>5. 안정화 단계</t>
        </is>
      </c>
      <c r="C34" s="3" t="inlineStr">
        <is>
          <t>운영 모니터링</t>
        </is>
      </c>
      <c r="D34" s="2" t="inlineStr">
        <is>
          <t>Engineer</t>
        </is>
      </c>
      <c r="E34" s="2" t="inlineStr">
        <is>
          <t>중간</t>
        </is>
      </c>
      <c r="F34" s="2">
        <f>IF(AND(G34&lt;&gt;"",H34&lt;&gt;""),H34-G34+1&amp;"일","")</f>
        <v/>
      </c>
      <c r="G34" s="40" t="n">
        <v>46055</v>
      </c>
      <c r="H34" s="40" t="n">
        <v>46057</v>
      </c>
      <c r="I34" s="2" t="inlineStr">
        <is>
          <t>0%</t>
        </is>
      </c>
      <c r="J34" s="4" t="inlineStr">
        <is>
          <t>대기</t>
        </is>
      </c>
      <c r="K34" s="5" t="n"/>
      <c r="L34" s="3" t="n"/>
    </row>
    <row r="35">
      <c r="A35" s="6" t="n">
        <v>32</v>
      </c>
      <c r="B35" s="33" t="n"/>
      <c r="C35" s="7" t="inlineStr">
        <is>
          <t>이슈 대응 및 튜닝</t>
        </is>
      </c>
      <c r="D35" s="6" t="inlineStr">
        <is>
          <t>Engineer</t>
        </is>
      </c>
      <c r="E35" s="6" t="inlineStr">
        <is>
          <t>중간</t>
        </is>
      </c>
      <c r="F35" s="6">
        <f>IF(AND(G35&lt;&gt;"",H35&lt;&gt;""),H35-G35+1&amp;"일","")</f>
        <v/>
      </c>
      <c r="G35" s="41" t="n">
        <v>46055</v>
      </c>
      <c r="H35" s="41" t="n">
        <v>46058</v>
      </c>
      <c r="I35" s="6" t="inlineStr">
        <is>
          <t>0%</t>
        </is>
      </c>
      <c r="J35" s="4" t="inlineStr">
        <is>
          <t>대기</t>
        </is>
      </c>
      <c r="K35" s="8" t="n"/>
      <c r="L35" s="7" t="n"/>
    </row>
    <row r="36">
      <c r="A36" s="2" t="n">
        <v>33</v>
      </c>
      <c r="B36" s="33" t="n"/>
      <c r="C36" s="3" t="inlineStr">
        <is>
          <t>운영 문서 작성</t>
        </is>
      </c>
      <c r="D36" s="2" t="inlineStr">
        <is>
          <t>Engineer</t>
        </is>
      </c>
      <c r="E36" s="2" t="inlineStr">
        <is>
          <t>중간</t>
        </is>
      </c>
      <c r="F36" s="2">
        <f>IF(AND(G36&lt;&gt;"",H36&lt;&gt;""),H36-G36+1&amp;"일","")</f>
        <v/>
      </c>
      <c r="G36" s="40" t="n">
        <v>46056</v>
      </c>
      <c r="H36" s="40" t="n">
        <v>46057</v>
      </c>
      <c r="I36" s="2" t="inlineStr">
        <is>
          <t>0%</t>
        </is>
      </c>
      <c r="J36" s="4" t="inlineStr">
        <is>
          <t>대기</t>
        </is>
      </c>
      <c r="K36" s="5" t="n"/>
      <c r="L36" s="3" t="n"/>
    </row>
    <row r="37">
      <c r="A37" s="6" t="n">
        <v>34</v>
      </c>
      <c r="B37" s="33" t="n"/>
      <c r="C37" s="7" t="inlineStr">
        <is>
          <t>운영 인계</t>
        </is>
      </c>
      <c r="D37" s="6" t="inlineStr">
        <is>
          <t>Engineer</t>
        </is>
      </c>
      <c r="E37" s="6" t="inlineStr">
        <is>
          <t>중간</t>
        </is>
      </c>
      <c r="F37" s="6">
        <f>IF(AND(G37&lt;&gt;"",H37&lt;&gt;""),H37-G37+1&amp;"일","")</f>
        <v/>
      </c>
      <c r="G37" s="41" t="n">
        <v>46058</v>
      </c>
      <c r="H37" s="41" t="n">
        <v>46059</v>
      </c>
      <c r="I37" s="6" t="inlineStr">
        <is>
          <t>0%</t>
        </is>
      </c>
      <c r="J37" s="4" t="inlineStr">
        <is>
          <t>대기</t>
        </is>
      </c>
      <c r="K37" s="8" t="n"/>
      <c r="L37" s="7" t="n"/>
    </row>
    <row r="38">
      <c r="A38" s="2" t="n">
        <v>35</v>
      </c>
      <c r="B38" s="34" t="n"/>
      <c r="C38" s="3" t="inlineStr">
        <is>
          <t>프로젝트 종료 보고</t>
        </is>
      </c>
      <c r="D38" s="2" t="inlineStr">
        <is>
          <t>PM</t>
        </is>
      </c>
      <c r="E38" s="2" t="inlineStr">
        <is>
          <t>중간</t>
        </is>
      </c>
      <c r="F38" s="2">
        <f>IF(AND(G38&lt;&gt;"",H38&lt;&gt;""),H38-G38+1&amp;"일","")</f>
        <v/>
      </c>
      <c r="G38" s="40" t="n">
        <v>46062</v>
      </c>
      <c r="H38" s="40" t="n">
        <v>46062</v>
      </c>
      <c r="I38" s="2" t="inlineStr">
        <is>
          <t>0%</t>
        </is>
      </c>
      <c r="J38" s="4" t="inlineStr">
        <is>
          <t>대기</t>
        </is>
      </c>
      <c r="K38" s="5" t="n"/>
      <c r="L38" s="3" t="n"/>
    </row>
  </sheetData>
  <mergeCells count="7">
    <mergeCell ref="A2:L2"/>
    <mergeCell ref="A1:L1"/>
    <mergeCell ref="B18:B26"/>
    <mergeCell ref="B34:B38"/>
    <mergeCell ref="B4:B10"/>
    <mergeCell ref="B27:B33"/>
    <mergeCell ref="B11:B17"/>
  </mergeCells>
  <dataValidations count="3">
    <dataValidation sqref="J4:J38" showDropDown="0" showInputMessage="0" showErrorMessage="0" allowBlank="0" prompt="Status 선택" type="list">
      <formula1>"대기,진행중,완료,지연,보류"</formula1>
    </dataValidation>
    <dataValidation sqref="E4:E38" showDropDown="0" showInputMessage="0" showErrorMessage="0" allowBlank="0" prompt="우선순위 선택" type="list">
      <formula1>"높음,중간,낮음"</formula1>
    </dataValidation>
    <dataValidation sqref="I4:I38" showDropDown="0" showInputMessage="0" showErrorMessage="0" allowBlank="0" type="list">
      <formula1>"0%,10%,20%,30%,40%,50%,60%,70%,80%,90%,100%"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A1" sqref="A1:D1"/>
    </sheetView>
  </sheetViews>
  <sheetFormatPr baseColWidth="8" defaultRowHeight="16.5"/>
  <cols>
    <col width="20" customWidth="1" style="30" min="1" max="1"/>
    <col width="12" customWidth="1" style="30" min="2" max="4"/>
  </cols>
  <sheetData>
    <row r="1" ht="30" customHeight="1" s="30">
      <c r="A1" s="31" t="inlineStr">
        <is>
          <t>프로젝트 현황 요약</t>
        </is>
      </c>
    </row>
    <row r="3">
      <c r="A3" s="9" t="inlineStr">
        <is>
          <t>Phase</t>
        </is>
      </c>
      <c r="B3" s="9" t="inlineStr">
        <is>
          <t>Task 수</t>
        </is>
      </c>
      <c r="C3" s="9" t="inlineStr">
        <is>
          <t>예상 기간</t>
        </is>
      </c>
      <c r="D3" s="9" t="inlineStr">
        <is>
          <t>Status</t>
        </is>
      </c>
    </row>
    <row r="4">
      <c r="A4" s="10" t="inlineStr">
        <is>
          <t>1. 준비 단계</t>
        </is>
      </c>
      <c r="B4" s="11" t="n">
        <v>7</v>
      </c>
      <c r="C4" s="11" t="inlineStr">
        <is>
          <t>19일</t>
        </is>
      </c>
      <c r="D4" s="12" t="inlineStr">
        <is>
          <t>대기</t>
        </is>
      </c>
    </row>
    <row r="5">
      <c r="A5" s="13" t="inlineStr">
        <is>
          <t>2. 설계 단계</t>
        </is>
      </c>
      <c r="B5" s="11" t="n">
        <v>7</v>
      </c>
      <c r="C5" s="11" t="inlineStr">
        <is>
          <t>26일</t>
        </is>
      </c>
      <c r="D5" s="12" t="inlineStr">
        <is>
          <t>대기</t>
        </is>
      </c>
    </row>
    <row r="6">
      <c r="A6" s="14" t="inlineStr">
        <is>
          <t>3. 구축 단계</t>
        </is>
      </c>
      <c r="B6" s="11" t="n">
        <v>9</v>
      </c>
      <c r="C6" s="11" t="inlineStr">
        <is>
          <t>35일</t>
        </is>
      </c>
      <c r="D6" s="12" t="inlineStr">
        <is>
          <t>대기</t>
        </is>
      </c>
    </row>
    <row r="7">
      <c r="A7" s="15" t="inlineStr">
        <is>
          <t>4. 테스트 단계</t>
        </is>
      </c>
      <c r="B7" s="11" t="n">
        <v>7</v>
      </c>
      <c r="C7" s="11" t="inlineStr">
        <is>
          <t>19일</t>
        </is>
      </c>
      <c r="D7" s="12" t="inlineStr">
        <is>
          <t>대기</t>
        </is>
      </c>
    </row>
    <row r="8">
      <c r="A8" s="16" t="inlineStr">
        <is>
          <t>5. 안정화 단계</t>
        </is>
      </c>
      <c r="B8" s="11" t="n">
        <v>5</v>
      </c>
      <c r="C8" s="11" t="inlineStr">
        <is>
          <t>28일</t>
        </is>
      </c>
      <c r="D8" s="12" t="inlineStr">
        <is>
          <t>대기</t>
        </is>
      </c>
    </row>
    <row r="9">
      <c r="A9" s="17" t="inlineStr">
        <is>
          <t>Total</t>
        </is>
      </c>
      <c r="B9" s="18" t="n">
        <v>35</v>
      </c>
      <c r="C9" s="18" t="inlineStr">
        <is>
          <t>127일</t>
        </is>
      </c>
      <c r="D9" s="19" t="n"/>
    </row>
    <row r="12">
      <c r="A12" s="20" t="inlineStr">
        <is>
          <t>Status Legend</t>
        </is>
      </c>
    </row>
    <row r="13">
      <c r="A13" s="19" t="inlineStr">
        <is>
          <t>대기</t>
        </is>
      </c>
      <c r="B13" s="21" t="n"/>
    </row>
    <row r="14">
      <c r="A14" s="19" t="inlineStr">
        <is>
          <t>진행중</t>
        </is>
      </c>
      <c r="B14" s="22" t="n"/>
    </row>
    <row r="15">
      <c r="A15" s="19" t="inlineStr">
        <is>
          <t>완료</t>
        </is>
      </c>
      <c r="B15" s="23" t="n"/>
    </row>
    <row r="16">
      <c r="A16" s="19" t="inlineStr">
        <is>
          <t>지연</t>
        </is>
      </c>
      <c r="B16" s="2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3" sqref="A3"/>
    </sheetView>
  </sheetViews>
  <sheetFormatPr baseColWidth="8" defaultRowHeight="16.5"/>
  <cols>
    <col width="6" customWidth="1" style="30" min="1" max="1"/>
    <col width="25" customWidth="1" style="30" min="2" max="2"/>
    <col width="14" customWidth="1" style="30" min="3" max="4"/>
    <col width="12" customWidth="1" style="30" min="5" max="5"/>
  </cols>
  <sheetData>
    <row r="1" ht="30" customHeight="1" s="30">
      <c r="A1" s="31" t="inlineStr">
        <is>
          <t>주요 Milestone</t>
        </is>
      </c>
    </row>
    <row r="2">
      <c r="A2" s="9" t="inlineStr">
        <is>
          <t>No.</t>
        </is>
      </c>
      <c r="B2" s="9" t="inlineStr">
        <is>
          <t>Milestone</t>
        </is>
      </c>
      <c r="C2" s="9" t="inlineStr">
        <is>
          <t>예정일</t>
        </is>
      </c>
      <c r="D2" s="9" t="inlineStr">
        <is>
          <t>완료일</t>
        </is>
      </c>
      <c r="E2" s="9" t="inlineStr">
        <is>
          <t>Status</t>
        </is>
      </c>
    </row>
    <row r="3">
      <c r="A3" s="25" t="n">
        <v>1</v>
      </c>
      <c r="B3" s="26" t="inlineStr">
        <is>
          <t>프로젝트 킥오프</t>
        </is>
      </c>
      <c r="C3" s="25" t="inlineStr">
        <is>
          <t>2026-01-13</t>
        </is>
      </c>
      <c r="D3" s="25" t="n"/>
      <c r="E3" s="12" t="inlineStr">
        <is>
          <t>대기</t>
        </is>
      </c>
    </row>
    <row r="4">
      <c r="A4" s="27" t="n">
        <v>2</v>
      </c>
      <c r="B4" s="28" t="inlineStr">
        <is>
          <t>설계 완료 및 승인</t>
        </is>
      </c>
      <c r="C4" s="27" t="inlineStr">
        <is>
          <t>2026-02-27</t>
        </is>
      </c>
      <c r="D4" s="27" t="n"/>
      <c r="E4" s="12" t="inlineStr">
        <is>
          <t>대기</t>
        </is>
      </c>
    </row>
    <row r="5">
      <c r="A5" s="25" t="n">
        <v>3</v>
      </c>
      <c r="B5" s="26" t="inlineStr">
        <is>
          <t>SIEM 설치 완료</t>
        </is>
      </c>
      <c r="C5" s="25" t="inlineStr">
        <is>
          <t>2026-03-03</t>
        </is>
      </c>
      <c r="D5" s="25" t="n"/>
      <c r="E5" s="12" t="inlineStr">
        <is>
          <t>대기</t>
        </is>
      </c>
    </row>
    <row r="6">
      <c r="A6" s="27" t="n">
        <v>4</v>
      </c>
      <c r="B6" s="28" t="inlineStr">
        <is>
          <t>Log Source 연동 완료</t>
        </is>
      </c>
      <c r="C6" s="27" t="inlineStr">
        <is>
          <t>2026-04-03</t>
        </is>
      </c>
      <c r="D6" s="27" t="n"/>
      <c r="E6" s="12" t="inlineStr">
        <is>
          <t>대기</t>
        </is>
      </c>
    </row>
    <row r="7">
      <c r="A7" s="25" t="n">
        <v>5</v>
      </c>
      <c r="B7" s="26" t="inlineStr">
        <is>
          <t>테스트 완료 (FVT)</t>
        </is>
      </c>
      <c r="C7" s="25" t="inlineStr">
        <is>
          <t>2026-04-22</t>
        </is>
      </c>
      <c r="D7" s="25" t="n"/>
      <c r="E7" s="12" t="inlineStr">
        <is>
          <t>대기</t>
        </is>
      </c>
    </row>
    <row r="8">
      <c r="A8" s="27" t="n">
        <v>6</v>
      </c>
      <c r="B8" s="28" t="inlineStr">
        <is>
          <t>안정화 완료</t>
        </is>
      </c>
      <c r="C8" s="27" t="inlineStr">
        <is>
          <t>2026-05-17</t>
        </is>
      </c>
      <c r="D8" s="27" t="n"/>
      <c r="E8" s="12" t="inlineStr">
        <is>
          <t>대기</t>
        </is>
      </c>
    </row>
    <row r="9">
      <c r="A9" s="25" t="n">
        <v>7</v>
      </c>
      <c r="B9" s="26" t="inlineStr">
        <is>
          <t>프로젝트 종료</t>
        </is>
      </c>
      <c r="C9" s="25" t="inlineStr">
        <is>
          <t>2026-05-20</t>
        </is>
      </c>
      <c r="D9" s="25" t="n"/>
      <c r="E9" s="12" t="inlineStr">
        <is>
          <t>대기</t>
        </is>
      </c>
    </row>
  </sheetData>
  <mergeCells count="1">
    <mergeCell ref="A1:E1"/>
  </mergeCells>
  <dataValidations count="1">
    <dataValidation sqref="E3:E9" showDropDown="0" showInputMessage="0" showErrorMessage="0" allowBlank="0" type="list">
      <formula1>"대기,진행중,완료,지연,보류"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E8" sqref="E8"/>
    </sheetView>
  </sheetViews>
  <sheetFormatPr baseColWidth="8" defaultRowHeight="16.5"/>
  <cols>
    <col width="6" customWidth="1" style="30" min="1" max="1"/>
    <col width="18" customWidth="1" style="30" min="2" max="2"/>
    <col width="15" customWidth="1" style="30" min="3" max="4"/>
    <col width="18" customWidth="1" style="30" min="5" max="5"/>
    <col width="20" customWidth="1" style="30" min="6" max="6"/>
  </cols>
  <sheetData>
    <row r="1" ht="30" customHeight="1" s="30">
      <c r="A1" s="31" t="inlineStr">
        <is>
          <t>투입 인력 현황</t>
        </is>
      </c>
    </row>
    <row r="2">
      <c r="A2" s="9" t="inlineStr">
        <is>
          <t>No.</t>
        </is>
      </c>
      <c r="B2" s="9" t="inlineStr">
        <is>
          <t>Role</t>
        </is>
      </c>
      <c r="C2" s="9" t="inlineStr">
        <is>
          <t>담당자명</t>
        </is>
      </c>
      <c r="D2" s="9" t="inlineStr">
        <is>
          <t>소속</t>
        </is>
      </c>
      <c r="E2" s="9" t="inlineStr">
        <is>
          <t>연락처</t>
        </is>
      </c>
      <c r="F2" s="9" t="inlineStr">
        <is>
          <t>비고</t>
        </is>
      </c>
    </row>
    <row r="3">
      <c r="A3" s="25" t="n">
        <v>1</v>
      </c>
      <c r="B3" s="26" t="inlineStr">
        <is>
          <t>PM</t>
        </is>
      </c>
      <c r="C3" s="26" t="inlineStr">
        <is>
          <t>최경호</t>
        </is>
      </c>
      <c r="D3" s="26" t="inlineStr">
        <is>
          <t>㈜씨커스</t>
        </is>
      </c>
      <c r="E3" s="26" t="inlineStr">
        <is>
          <t>010-3491-1291</t>
        </is>
      </c>
      <c r="F3" s="26" t="inlineStr">
        <is>
          <t>프로젝트 관리</t>
        </is>
      </c>
    </row>
    <row r="4">
      <c r="A4" s="27" t="n">
        <v>4</v>
      </c>
      <c r="B4" s="28" t="inlineStr">
        <is>
          <t>SIEM Engineer</t>
        </is>
      </c>
      <c r="C4" s="28" t="inlineStr">
        <is>
          <t>허신용</t>
        </is>
      </c>
      <c r="D4" s="28" t="inlineStr">
        <is>
          <t>㈜씨커스</t>
        </is>
      </c>
      <c r="E4" s="28" t="inlineStr">
        <is>
          <t>010-2237-4414</t>
        </is>
      </c>
      <c r="F4" s="28" t="inlineStr">
        <is>
          <t>SIEM 구축</t>
        </is>
      </c>
    </row>
    <row r="5">
      <c r="A5" s="25" t="n">
        <v>5</v>
      </c>
      <c r="B5" s="26" t="inlineStr">
        <is>
          <t>보안 담당자</t>
        </is>
      </c>
      <c r="C5" s="26" t="n"/>
      <c r="D5" s="26" t="n"/>
      <c r="E5" s="26" t="n"/>
      <c r="F5" s="26" t="inlineStr">
        <is>
          <t>정책 검토</t>
        </is>
      </c>
    </row>
    <row r="6">
      <c r="A6" s="27" t="n">
        <v>6</v>
      </c>
      <c r="B6" s="28" t="inlineStr">
        <is>
          <t>시스템 담당자</t>
        </is>
      </c>
      <c r="C6" s="28" t="n"/>
      <c r="D6" s="28" t="n"/>
      <c r="E6" s="28" t="n"/>
      <c r="F6" s="28" t="inlineStr">
        <is>
          <t>서버 관리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2026-01-13T05:30:45Z</dcterms:created>
  <dcterms:modified xmlns:dcterms="http://purl.org/dc/terms/" xmlns:xsi="http://www.w3.org/2001/XMLSchema-instance" xsi:type="dcterms:W3CDTF">2026-05-13T04:53:29Z</dcterms:modified>
  <cp:lastModifiedBy>경호 최</cp:lastModifiedBy>
</cp:coreProperties>
</file>